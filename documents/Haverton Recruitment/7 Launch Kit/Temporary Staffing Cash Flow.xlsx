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sh Flo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<sst xmlns="http://schemas.openxmlformats.org/spreadsheetml/2006/main" count="62" uniqueCount="62">
  <si>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Temporary Staffing Cash Flow (13 weeks)</t>
  </si>
  <si>
    <t xml:space="preserve">Haverton Care Limited | Haverton Recruitment And Staffing | Planning estimate for discussion with your accountant</t>
  </si>
  <si>
    <t xml:space="preserve">Change the yellow cells only. All amounts exclude VAT. Figures are estimates, not verified results.</t>
  </si>
  <si>
    <t xml:space="preserve">Input</t>
  </si>
  <si>
    <t xml:space="preserve">Value</t>
  </si>
  <si>
    <t xml:space="preserve">Notes</t>
  </si>
  <si>
    <t xml:space="preserve">First week of supply (Monday)</t>
  </si>
  <si>
    <t xml:space="preserve">Earliest realistic pilot date after the Go Live Gate. Change to your date.</t>
  </si>
  <si>
    <t xml:space="preserve">Opening cash available for temporary staffing (£)</t>
  </si>
  <si>
    <t xml:space="preserve">[confirm] Cash you can set aside. Keep it separate from other business cash.</t>
  </si>
  <si>
    <t xml:space="preserve">Worker pay rate per hour (£)</t>
  </si>
  <si>
    <t xml:space="preserve">Must be at least the National Living Wage (£12.71 for 21+ from April 2026). Check local market rates.</t>
  </si>
  <si>
    <t xml:space="preserve">Charge rate to client per hour (£, ex VAT)</t>
  </si>
  <si>
    <t xml:space="preserve">Weekday day rate. Nights, weekends and bank holidays should be charged higher.</t>
  </si>
  <si>
    <t xml:space="preserve">Hours per worker per week</t>
  </si>
  <si>
    <t xml:space="preserve">Average hours actually worked and billed.</t>
  </si>
  <si>
    <t xml:space="preserve">Holiday pay accrual</t>
  </si>
  <si>
    <t xml:space="preserve">12.07% of pay is the usual accrual for irregular-hours workers.</t>
  </si>
  <si>
    <t xml:space="preserve">Employer National Insurance (planning load)</t>
  </si>
  <si>
    <t xml:space="preserve">Blended planning figure, not the statutory calculation. Your payroll will calculate the exact amount.</t>
  </si>
  <si>
    <t xml:space="preserve">Employer pension (planning load)</t>
  </si>
  <si>
    <t xml:space="preserve">Auto-enrolment minimum employer contribution is 3% of qualifying earnings.</t>
  </si>
  <si>
    <t xml:space="preserve">Other cost per hour worked (£)</t>
  </si>
  <si>
    <t xml:space="preserve">DBS, training, PPE, payroll software, per hour worked.</t>
  </si>
  <si>
    <t xml:space="preserve">Fixed weekly overheads for temporary staffing (£)</t>
  </si>
  <si>
    <t xml:space="preserve">[confirm] Insurance, on-call phone, software, compliance checks. Replace with real quotes.</t>
  </si>
  <si>
    <t xml:space="preserve">Client payment terms (days)</t>
  </si>
  <si>
    <t xml:space="preserve">Invoices go out weekly. Your plan is 7-day terms.</t>
  </si>
  <si>
    <t xml:space="preserve">Extra delay if clients pay late (weeks)</t>
  </si>
  <si>
    <t xml:space="preserve">Stress test: set to 2 or 4 to see the effect of late payers.</t>
  </si>
  <si>
    <t xml:space="preserve">Margin check per hour</t>
  </si>
  <si>
    <t xml:space="preserve">Loaded cost per hour (£)</t>
  </si>
  <si>
    <t xml:space="preserve">Gross profit per hour (£)</t>
  </si>
  <si>
    <t xml:space="preserve">Gross margin</t>
  </si>
  <si>
    <t xml:space="preserve">Meets Haverton floor (£5.50 per hour and 20%)?</t>
  </si>
  <si>
    <t xml:space="preserve">Weeks between work and payment</t>
  </si>
  <si>
    <t xml:space="preserve">Results</t>
  </si>
  <si>
    <t xml:space="preserve">Lowest cash balance in 13 weeks (£)</t>
  </si>
  <si>
    <t xml:space="preserve">Extra funding needed to stay above £0 (£)</t>
  </si>
  <si>
    <t xml:space="preserve">Week with lowest balance</t>
  </si>
  <si>
    <t xml:space="preserve">Unpaid client invoices at end of week 13 (£)</t>
  </si>
  <si>
    <t xml:space="preserve">Gross profit earned over 13 weeks (£)</t>
  </si>
  <si>
    <t xml:space="preserve">How to read this</t>
  </si>
  <si>
    <t xml:space="preserve">You pay workers every week, one week in arrears. Clients pay you later. The gap is the cash you need.</t>
  </si>
  <si>
    <t xml:space="preserve">Wages, holiday pay, National Insurance and pension are treated as paid with each weekly payroll. HMRC and pension payments are usually monthly, so this is slightly cautious.</t>
  </si>
  <si>
    <t xml:space="preserve">VAT is left out. If you are VAT registered, the VAT you collect belongs to HMRC and must not be used to pay wages.</t>
  </si>
  <si>
    <t xml:space="preserve">Ask your accountant to check this before you commit to any client. If the "Extra funding needed" cell is red, arrange funding (for example invoice finance) before the pilot.</t>
  </si>
  <si>
    <t xml:space="preserve">Weekly cash flow (change workers in the yellow column)</t>
  </si>
  <si>
    <t xml:space="preserve">Week</t>
  </si>
  <si>
    <t xml:space="preserve">Week starting</t>
  </si>
  <si>
    <t xml:space="preserve">Workers on shift</t>
  </si>
  <si>
    <t xml:space="preserve">Hours billed</t>
  </si>
  <si>
    <t xml:space="preserve">Invoiced to clients (£)</t>
  </si>
  <si>
    <t xml:space="preserve">Cash in from clients (£)</t>
  </si>
  <si>
    <t xml:space="preserve">Wage cost incurred (£)</t>
  </si>
  <si>
    <t xml:space="preserve">Other costs (£)</t>
  </si>
  <si>
    <t xml:space="preserve">Wages paid this week (£)</t>
  </si>
  <si>
    <t xml:space="preserve">Fixed overheads (£)</t>
  </si>
  <si>
    <t xml:space="preserve">Cash out total (£)</t>
  </si>
  <si>
    <t xml:space="preserve">Closing cash (£)</t>
  </si>
  <si>
    <t xml:space="preserve">Total</t>
  </si>
  <si>
    <t xml:space="preserve">Wages for the final week (week 13) are paid in week 14, so they do not appear here. Workers must be paid even if a client pays late or not at all (Conduct Regulations, regulation 12).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</si>
</sst>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\£#,##0"/>
    <numFmt numFmtId="167" formatCode="\£#,##0.00"/>
    <numFmt numFmtId="168" formatCode="0"/>
    <numFmt numFmtId="169" formatCode="0.00%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B45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8A6D2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1F3F99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3"/>
      <color rgb="FF1B2B4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B2B45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4"/>
      <color rgb="FF1B2B4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B45"/>
        <bgColor rgb="FF333333"/>
      </patternFill>
    </fill>
    <fill>
      <patternFill patternType="solid">
        <fgColor rgb="FFFFF6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1C1C"/>
      </font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F"/>
      <rgbColor rgb="FF800080"/>
      <rgbColor rgb="FF008080"/>
      <rgbColor rgb="FFD9D2C3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2B45"/>
      <rgbColor rgb="FF339966"/>
      <rgbColor rgb="FF003300"/>
      <rgbColor rgb="FF555555"/>
      <rgbColor rgb="FF9C1C1C"/>
      <rgbColor rgb="FF993366"/>
      <rgbColor rgb="FF1F3F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46482</v>
      </c>
      <c r="C6" s="7" t="s">
        <v>7</v>
      </c>
    </row>
    <row r="7" customFormat="false" ht="15" hidden="false" customHeight="false" outlineLevel="0" collapsed="false">
      <c r="A7" s="5" t="s">
        <v>8</v>
      </c>
      <c r="B7" s="8" t="n">
        <v>10000</v>
      </c>
      <c r="C7" s="7" t="s">
        <v>9</v>
      </c>
    </row>
    <row r="8" customFormat="false" ht="15" hidden="false" customHeight="false" outlineLevel="0" collapsed="false">
      <c r="A8" s="5" t="s">
        <v>10</v>
      </c>
      <c r="B8" s="9" t="n">
        <v>14.5</v>
      </c>
      <c r="C8" s="7" t="s">
        <v>11</v>
      </c>
    </row>
    <row r="9" customFormat="false" ht="15" hidden="false" customHeight="false" outlineLevel="0" collapsed="false">
      <c r="A9" s="5" t="s">
        <v>12</v>
      </c>
      <c r="B9" s="9" t="n">
        <v>26</v>
      </c>
      <c r="C9" s="7" t="s">
        <v>13</v>
      </c>
    </row>
    <row r="10" customFormat="false" ht="15" hidden="false" customHeight="false" outlineLevel="0" collapsed="false">
      <c r="A10" s="5" t="s">
        <v>14</v>
      </c>
      <c r="B10" s="10" t="n">
        <v>30</v>
      </c>
      <c r="C10" s="7" t="s">
        <v>15</v>
      </c>
    </row>
    <row r="11" customFormat="false" ht="15" hidden="false" customHeight="false" outlineLevel="0" collapsed="false">
      <c r="A11" s="5" t="s">
        <v>16</v>
      </c>
      <c r="B11" s="11" t="n">
        <v>0.1207</v>
      </c>
      <c r="C11" s="7" t="s">
        <v>17</v>
      </c>
    </row>
    <row r="12" customFormat="false" ht="15" hidden="false" customHeight="false" outlineLevel="0" collapsed="false">
      <c r="A12" s="5" t="s">
        <v>18</v>
      </c>
      <c r="B12" s="12" t="n">
        <v>0.105</v>
      </c>
      <c r="C12" s="7" t="s">
        <v>19</v>
      </c>
    </row>
    <row r="13" customFormat="false" ht="15" hidden="false" customHeight="false" outlineLevel="0" collapsed="false">
      <c r="A13" s="5" t="s">
        <v>20</v>
      </c>
      <c r="B13" s="12" t="n">
        <v>0.025</v>
      </c>
      <c r="C13" s="7" t="s">
        <v>21</v>
      </c>
    </row>
    <row r="14" customFormat="false" ht="15" hidden="false" customHeight="false" outlineLevel="0" collapsed="false">
      <c r="A14" s="5" t="s">
        <v>22</v>
      </c>
      <c r="B14" s="9" t="n">
        <v>0.75</v>
      </c>
      <c r="C14" s="7" t="s">
        <v>23</v>
      </c>
    </row>
    <row r="15" customFormat="false" ht="15" hidden="false" customHeight="false" outlineLevel="0" collapsed="false">
      <c r="A15" s="5" t="s">
        <v>24</v>
      </c>
      <c r="B15" s="8" t="n">
        <v>400</v>
      </c>
      <c r="C15" s="7" t="s">
        <v>25</v>
      </c>
    </row>
    <row r="16" customFormat="false" ht="15" hidden="false" customHeight="false" outlineLevel="0" collapsed="false">
      <c r="A16" s="5" t="s">
        <v>26</v>
      </c>
      <c r="B16" s="10" t="n">
        <v>7</v>
      </c>
      <c r="C16" s="7" t="s">
        <v>27</v>
      </c>
    </row>
    <row r="17" customFormat="false" ht="15" hidden="false" customHeight="false" outlineLevel="0" collapsed="false">
      <c r="A17" s="5" t="s">
        <v>28</v>
      </c>
      <c r="B17" s="10" t="n">
        <v>0</v>
      </c>
      <c r="C17" s="7" t="s">
        <v>29</v>
      </c>
    </row>
    <row r="19" customFormat="false" ht="16.15" hidden="false" customHeight="false" outlineLevel="0" collapsed="false">
      <c r="A19" s="13" t="s">
        <v>30</v>
      </c>
    </row>
    <row r="20" customFormat="false" ht="15" hidden="false" customHeight="false" outlineLevel="0" collapsed="false">
      <c r="A20" s="5" t="s">
        <v>31</v>
      </c>
      <c r="B20" s="14" t="n">
        <f aca="false">B8*(1+B11+B12+B13)+B14</f>
        <v>18.88515</v>
      </c>
    </row>
    <row r="21" customFormat="false" ht="15" hidden="false" customHeight="false" outlineLevel="0" collapsed="false">
      <c r="A21" s="5" t="s">
        <v>32</v>
      </c>
      <c r="B21" s="14" t="n">
        <f aca="false">B9-B20</f>
        <v>7.11485</v>
      </c>
    </row>
    <row r="22" customFormat="false" ht="15" hidden="false" customHeight="false" outlineLevel="0" collapsed="false">
      <c r="A22" s="5" t="s">
        <v>33</v>
      </c>
      <c r="B22" s="15" t="n">
        <f aca="false">IF(B9=0,0,B21/B9)</f>
        <v>0.273648076923077</v>
      </c>
    </row>
    <row r="23" customFormat="false" ht="15" hidden="false" customHeight="false" outlineLevel="0" collapsed="false">
      <c r="A23" s="5" t="s">
        <v>34</v>
      </c>
      <c r="B23" s="16" t="str">
        <f aca="false">IF(AND(B21&gt;=5.5,B22&gt;=0.2),"Yes","No: needs Director approval")</f>
        <v>Yes</v>
      </c>
    </row>
    <row r="24" customFormat="false" ht="15" hidden="false" customHeight="false" outlineLevel="0" collapsed="false">
      <c r="A24" s="5" t="s">
        <v>35</v>
      </c>
      <c r="B24" s="17" t="n">
        <f aca="false">1+ROUNDUP(B16/7,0)+B17</f>
        <v>2</v>
      </c>
    </row>
    <row r="26" customFormat="false" ht="16.15" hidden="false" customHeight="false" outlineLevel="0" collapsed="false">
      <c r="A26" s="13" t="s">
        <v>36</v>
      </c>
    </row>
    <row r="27" customFormat="false" ht="15" hidden="false" customHeight="false" outlineLevel="0" collapsed="false">
      <c r="A27" s="5" t="s">
        <v>37</v>
      </c>
      <c r="B27" s="18" t="n">
        <f aca="false">MIN('Cash Flow'!L3:L15)</f>
        <v>7378.237</v>
      </c>
    </row>
    <row r="28" customFormat="false" ht="15" hidden="false" customHeight="false" outlineLevel="0" collapsed="false">
      <c r="A28" s="5" t="s">
        <v>38</v>
      </c>
      <c r="B28" s="18" t="n">
        <f aca="false">MAX(0,-B27)</f>
        <v>0</v>
      </c>
    </row>
    <row r="29" customFormat="false" ht="15" hidden="false" customHeight="false" outlineLevel="0" collapsed="false">
      <c r="A29" s="5" t="s">
        <v>39</v>
      </c>
      <c r="B29" s="17" t="n">
        <f aca="false">INDEX('Cash Flow'!A3:A15,MATCH(B27,'Cash Flow'!L3:L15,0))</f>
        <v>6</v>
      </c>
    </row>
    <row r="30" customFormat="false" ht="15" hidden="false" customHeight="false" outlineLevel="0" collapsed="false">
      <c r="A30" s="5" t="s">
        <v>40</v>
      </c>
      <c r="B30" s="18" t="n">
        <f aca="false">SUM('Cash Flow'!E3:E15)-SUM('Cash Flow'!F3:F15)</f>
        <v>9360</v>
      </c>
    </row>
    <row r="31" customFormat="false" ht="15" hidden="false" customHeight="false" outlineLevel="0" collapsed="false">
      <c r="A31" s="5" t="s">
        <v>41</v>
      </c>
      <c r="B31" s="18" t="n">
        <f aca="false">SUM('Cash Flow'!E3:E15)-SUM('Cash Flow'!G3:G15)-SUM('Cash Flow'!H3:H15)</f>
        <v>12379.839</v>
      </c>
    </row>
    <row r="33" customFormat="false" ht="15" hidden="false" customHeight="false" outlineLevel="0" collapsed="false">
      <c r="A33" s="19" t="s">
        <v>42</v>
      </c>
    </row>
    <row r="34" customFormat="false" ht="15" hidden="false" customHeight="false" outlineLevel="0" collapsed="false">
      <c r="A34" s="20" t="s">
        <v>43</v>
      </c>
    </row>
    <row r="35" customFormat="false" ht="15" hidden="false" customHeight="false" outlineLevel="0" collapsed="false">
      <c r="A35" s="20" t="s">
        <v>44</v>
      </c>
    </row>
    <row r="36" customFormat="false" ht="15" hidden="false" customHeight="false" outlineLevel="0" collapsed="false">
      <c r="A36" s="20" t="s">
        <v>45</v>
      </c>
    </row>
    <row r="37" customFormat="false" ht="15" hidden="false" customHeight="false" outlineLevel="0" collapsed="false">
      <c r="A37" s="20" t="s">
        <v>46</v>
      </c>
    </row>
  </sheetData>
  <conditionalFormatting sqref="B28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5"/>
  </cols>
  <sheetData>
    <row r="1" customFormat="false" ht="17.35" hidden="false" customHeight="false" outlineLevel="0" collapsed="false">
      <c r="A1" s="21" t="s">
        <v>47</v>
      </c>
    </row>
    <row r="2" customFormat="false" ht="45" hidden="false" customHeight="true" outlineLevel="0" collapsed="false">
      <c r="A2" s="22" t="s">
        <v>48</v>
      </c>
      <c r="B2" s="22" t="s">
        <v>49</v>
      </c>
      <c r="C2" s="22" t="s">
        <v>50</v>
      </c>
      <c r="D2" s="22" t="s">
        <v>51</v>
      </c>
      <c r="E2" s="22" t="s">
        <v>52</v>
      </c>
      <c r="F2" s="22" t="s">
        <v>53</v>
      </c>
      <c r="G2" s="22" t="s">
        <v>54</v>
      </c>
      <c r="H2" s="22" t="s">
        <v>55</v>
      </c>
      <c r="I2" s="22" t="s">
        <v>56</v>
      </c>
      <c r="J2" s="22" t="s">
        <v>57</v>
      </c>
      <c r="K2" s="22" t="s">
        <v>58</v>
      </c>
      <c r="L2" s="22" t="s">
        <v>59</v>
      </c>
    </row>
    <row r="3" customFormat="false" ht="15" hidden="false" customHeight="false" outlineLevel="0" collapsed="false">
      <c r="A3" s="23" t="n">
        <v>1</v>
      </c>
      <c r="B3" s="24" t="n">
        <f aca="false">Inputs!$B$6+7*(A3-1)</f>
        <v>46482</v>
      </c>
      <c r="C3" s="10" t="n">
        <v>2</v>
      </c>
      <c r="D3" s="23" t="n">
        <f aca="false">C3*Inputs!$B$10</f>
        <v>60</v>
      </c>
      <c r="E3" s="25" t="n">
        <f aca="false">D3*Inputs!$B$9</f>
        <v>1560</v>
      </c>
      <c r="F3" s="25" t="n">
        <f aca="false">IF(A3-Inputs!$B$24&gt;=1,INDEX($E$3:$E$15,A3-Inputs!$B$24),0)</f>
        <v>0</v>
      </c>
      <c r="G3" s="25" t="n">
        <f aca="false">D3*Inputs!$B$8*(1+Inputs!$B$11+Inputs!$B$12+Inputs!$B$13)</f>
        <v>1088.109</v>
      </c>
      <c r="H3" s="25" t="n">
        <f aca="false">D3*Inputs!$B$14</f>
        <v>45</v>
      </c>
      <c r="I3" s="25" t="n">
        <v>0</v>
      </c>
      <c r="J3" s="25" t="n">
        <f aca="false">Inputs!$B$15</f>
        <v>400</v>
      </c>
      <c r="K3" s="25" t="n">
        <f aca="false">H3+I3+J3</f>
        <v>445</v>
      </c>
      <c r="L3" s="25" t="n">
        <f aca="false">Inputs!$B$7+F3-K3</f>
        <v>9555</v>
      </c>
    </row>
    <row r="4" customFormat="false" ht="15" hidden="false" customHeight="false" outlineLevel="0" collapsed="false">
      <c r="A4" s="23" t="n">
        <v>2</v>
      </c>
      <c r="B4" s="24" t="n">
        <f aca="false">Inputs!$B$6+7*(A4-1)</f>
        <v>46489</v>
      </c>
      <c r="C4" s="10" t="n">
        <v>2</v>
      </c>
      <c r="D4" s="23" t="n">
        <f aca="false">C4*Inputs!$B$10</f>
        <v>60</v>
      </c>
      <c r="E4" s="25" t="n">
        <f aca="false">D4*Inputs!$B$9</f>
        <v>1560</v>
      </c>
      <c r="F4" s="25" t="n">
        <f aca="false">IF(A4-Inputs!$B$24&gt;=1,INDEX($E$3:$E$15,A4-Inputs!$B$24),0)</f>
        <v>0</v>
      </c>
      <c r="G4" s="25" t="n">
        <f aca="false">D4*Inputs!$B$8*(1+Inputs!$B$11+Inputs!$B$12+Inputs!$B$13)</f>
        <v>1088.109</v>
      </c>
      <c r="H4" s="25" t="n">
        <f aca="false">D4*Inputs!$B$14</f>
        <v>45</v>
      </c>
      <c r="I4" s="25" t="n">
        <f aca="false">G3</f>
        <v>1088.109</v>
      </c>
      <c r="J4" s="25" t="n">
        <f aca="false">Inputs!$B$15</f>
        <v>400</v>
      </c>
      <c r="K4" s="25" t="n">
        <f aca="false">H4+I4+J4</f>
        <v>1533.109</v>
      </c>
      <c r="L4" s="25" t="n">
        <f aca="false">L3+F4-K4</f>
        <v>8021.891</v>
      </c>
    </row>
    <row r="5" customFormat="false" ht="15" hidden="false" customHeight="false" outlineLevel="0" collapsed="false">
      <c r="A5" s="23" t="n">
        <v>3</v>
      </c>
      <c r="B5" s="24" t="n">
        <f aca="false">Inputs!$B$6+7*(A5-1)</f>
        <v>46496</v>
      </c>
      <c r="C5" s="10" t="n">
        <v>3</v>
      </c>
      <c r="D5" s="23" t="n">
        <f aca="false">C5*Inputs!$B$10</f>
        <v>90</v>
      </c>
      <c r="E5" s="25" t="n">
        <f aca="false">D5*Inputs!$B$9</f>
        <v>2340</v>
      </c>
      <c r="F5" s="25" t="n">
        <f aca="false">IF(A5-Inputs!$B$24&gt;=1,INDEX($E$3:$E$15,A5-Inputs!$B$24),0)</f>
        <v>1560</v>
      </c>
      <c r="G5" s="25" t="n">
        <f aca="false">D5*Inputs!$B$8*(1+Inputs!$B$11+Inputs!$B$12+Inputs!$B$13)</f>
        <v>1632.1635</v>
      </c>
      <c r="H5" s="25" t="n">
        <f aca="false">D5*Inputs!$B$14</f>
        <v>67.5</v>
      </c>
      <c r="I5" s="25" t="n">
        <f aca="false">G4</f>
        <v>1088.109</v>
      </c>
      <c r="J5" s="25" t="n">
        <f aca="false">Inputs!$B$15</f>
        <v>400</v>
      </c>
      <c r="K5" s="25" t="n">
        <f aca="false">H5+I5+J5</f>
        <v>1555.609</v>
      </c>
      <c r="L5" s="25" t="n">
        <f aca="false">L4+F5-K5</f>
        <v>8026.282</v>
      </c>
    </row>
    <row r="6" customFormat="false" ht="15" hidden="false" customHeight="false" outlineLevel="0" collapsed="false">
      <c r="A6" s="23" t="n">
        <v>4</v>
      </c>
      <c r="B6" s="24" t="n">
        <f aca="false">Inputs!$B$6+7*(A6-1)</f>
        <v>46503</v>
      </c>
      <c r="C6" s="10" t="n">
        <v>3</v>
      </c>
      <c r="D6" s="23" t="n">
        <f aca="false">C6*Inputs!$B$10</f>
        <v>90</v>
      </c>
      <c r="E6" s="25" t="n">
        <f aca="false">D6*Inputs!$B$9</f>
        <v>2340</v>
      </c>
      <c r="F6" s="25" t="n">
        <f aca="false">IF(A6-Inputs!$B$24&gt;=1,INDEX($E$3:$E$15,A6-Inputs!$B$24),0)</f>
        <v>1560</v>
      </c>
      <c r="G6" s="25" t="n">
        <f aca="false">D6*Inputs!$B$8*(1+Inputs!$B$11+Inputs!$B$12+Inputs!$B$13)</f>
        <v>1632.1635</v>
      </c>
      <c r="H6" s="25" t="n">
        <f aca="false">D6*Inputs!$B$14</f>
        <v>67.5</v>
      </c>
      <c r="I6" s="25" t="n">
        <f aca="false">G5</f>
        <v>1632.1635</v>
      </c>
      <c r="J6" s="25" t="n">
        <f aca="false">Inputs!$B$15</f>
        <v>400</v>
      </c>
      <c r="K6" s="25" t="n">
        <f aca="false">H6+I6+J6</f>
        <v>2099.6635</v>
      </c>
      <c r="L6" s="25" t="n">
        <f aca="false">L5+F6-K6</f>
        <v>7486.6185</v>
      </c>
    </row>
    <row r="7" customFormat="false" ht="15" hidden="false" customHeight="false" outlineLevel="0" collapsed="false">
      <c r="A7" s="23" t="n">
        <v>5</v>
      </c>
      <c r="B7" s="24" t="n">
        <f aca="false">Inputs!$B$6+7*(A7-1)</f>
        <v>46510</v>
      </c>
      <c r="C7" s="10" t="n">
        <v>4</v>
      </c>
      <c r="D7" s="23" t="n">
        <f aca="false">C7*Inputs!$B$10</f>
        <v>120</v>
      </c>
      <c r="E7" s="25" t="n">
        <f aca="false">D7*Inputs!$B$9</f>
        <v>3120</v>
      </c>
      <c r="F7" s="25" t="n">
        <f aca="false">IF(A7-Inputs!$B$24&gt;=1,INDEX($E$3:$E$15,A7-Inputs!$B$24),0)</f>
        <v>2340</v>
      </c>
      <c r="G7" s="25" t="n">
        <f aca="false">D7*Inputs!$B$8*(1+Inputs!$B$11+Inputs!$B$12+Inputs!$B$13)</f>
        <v>2176.218</v>
      </c>
      <c r="H7" s="25" t="n">
        <f aca="false">D7*Inputs!$B$14</f>
        <v>90</v>
      </c>
      <c r="I7" s="25" t="n">
        <f aca="false">G6</f>
        <v>1632.1635</v>
      </c>
      <c r="J7" s="25" t="n">
        <f aca="false">Inputs!$B$15</f>
        <v>400</v>
      </c>
      <c r="K7" s="25" t="n">
        <f aca="false">H7+I7+J7</f>
        <v>2122.1635</v>
      </c>
      <c r="L7" s="25" t="n">
        <f aca="false">L6+F7-K7</f>
        <v>7704.455</v>
      </c>
    </row>
    <row r="8" customFormat="false" ht="15" hidden="false" customHeight="false" outlineLevel="0" collapsed="false">
      <c r="A8" s="23" t="n">
        <v>6</v>
      </c>
      <c r="B8" s="24" t="n">
        <f aca="false">Inputs!$B$6+7*(A8-1)</f>
        <v>46517</v>
      </c>
      <c r="C8" s="10" t="n">
        <v>4</v>
      </c>
      <c r="D8" s="23" t="n">
        <f aca="false">C8*Inputs!$B$10</f>
        <v>120</v>
      </c>
      <c r="E8" s="25" t="n">
        <f aca="false">D8*Inputs!$B$9</f>
        <v>3120</v>
      </c>
      <c r="F8" s="25" t="n">
        <f aca="false">IF(A8-Inputs!$B$24&gt;=1,INDEX($E$3:$E$15,A8-Inputs!$B$24),0)</f>
        <v>2340</v>
      </c>
      <c r="G8" s="25" t="n">
        <f aca="false">D8*Inputs!$B$8*(1+Inputs!$B$11+Inputs!$B$12+Inputs!$B$13)</f>
        <v>2176.218</v>
      </c>
      <c r="H8" s="25" t="n">
        <f aca="false">D8*Inputs!$B$14</f>
        <v>90</v>
      </c>
      <c r="I8" s="25" t="n">
        <f aca="false">G7</f>
        <v>2176.218</v>
      </c>
      <c r="J8" s="25" t="n">
        <f aca="false">Inputs!$B$15</f>
        <v>400</v>
      </c>
      <c r="K8" s="25" t="n">
        <f aca="false">H8+I8+J8</f>
        <v>2666.218</v>
      </c>
      <c r="L8" s="25" t="n">
        <f aca="false">L7+F8-K8</f>
        <v>7378.237</v>
      </c>
    </row>
    <row r="9" customFormat="false" ht="15" hidden="false" customHeight="false" outlineLevel="0" collapsed="false">
      <c r="A9" s="23" t="n">
        <v>7</v>
      </c>
      <c r="B9" s="24" t="n">
        <f aca="false">Inputs!$B$6+7*(A9-1)</f>
        <v>46524</v>
      </c>
      <c r="C9" s="10" t="n">
        <v>5</v>
      </c>
      <c r="D9" s="23" t="n">
        <f aca="false">C9*Inputs!$B$10</f>
        <v>150</v>
      </c>
      <c r="E9" s="25" t="n">
        <f aca="false">D9*Inputs!$B$9</f>
        <v>3900</v>
      </c>
      <c r="F9" s="25" t="n">
        <f aca="false">IF(A9-Inputs!$B$24&gt;=1,INDEX($E$3:$E$15,A9-Inputs!$B$24),0)</f>
        <v>3120</v>
      </c>
      <c r="G9" s="25" t="n">
        <f aca="false">D9*Inputs!$B$8*(1+Inputs!$B$11+Inputs!$B$12+Inputs!$B$13)</f>
        <v>2720.2725</v>
      </c>
      <c r="H9" s="25" t="n">
        <f aca="false">D9*Inputs!$B$14</f>
        <v>112.5</v>
      </c>
      <c r="I9" s="25" t="n">
        <f aca="false">G8</f>
        <v>2176.218</v>
      </c>
      <c r="J9" s="25" t="n">
        <f aca="false">Inputs!$B$15</f>
        <v>400</v>
      </c>
      <c r="K9" s="25" t="n">
        <f aca="false">H9+I9+J9</f>
        <v>2688.718</v>
      </c>
      <c r="L9" s="25" t="n">
        <f aca="false">L8+F9-K9</f>
        <v>7809.519</v>
      </c>
    </row>
    <row r="10" customFormat="false" ht="15" hidden="false" customHeight="false" outlineLevel="0" collapsed="false">
      <c r="A10" s="23" t="n">
        <v>8</v>
      </c>
      <c r="B10" s="24" t="n">
        <f aca="false">Inputs!$B$6+7*(A10-1)</f>
        <v>46531</v>
      </c>
      <c r="C10" s="10" t="n">
        <v>5</v>
      </c>
      <c r="D10" s="23" t="n">
        <f aca="false">C10*Inputs!$B$10</f>
        <v>150</v>
      </c>
      <c r="E10" s="25" t="n">
        <f aca="false">D10*Inputs!$B$9</f>
        <v>3900</v>
      </c>
      <c r="F10" s="25" t="n">
        <f aca="false">IF(A10-Inputs!$B$24&gt;=1,INDEX($E$3:$E$15,A10-Inputs!$B$24),0)</f>
        <v>3120</v>
      </c>
      <c r="G10" s="25" t="n">
        <f aca="false">D10*Inputs!$B$8*(1+Inputs!$B$11+Inputs!$B$12+Inputs!$B$13)</f>
        <v>2720.2725</v>
      </c>
      <c r="H10" s="25" t="n">
        <f aca="false">D10*Inputs!$B$14</f>
        <v>112.5</v>
      </c>
      <c r="I10" s="25" t="n">
        <f aca="false">G9</f>
        <v>2720.2725</v>
      </c>
      <c r="J10" s="25" t="n">
        <f aca="false">Inputs!$B$15</f>
        <v>400</v>
      </c>
      <c r="K10" s="25" t="n">
        <f aca="false">H10+I10+J10</f>
        <v>3232.7725</v>
      </c>
      <c r="L10" s="25" t="n">
        <f aca="false">L9+F10-K10</f>
        <v>7696.7465</v>
      </c>
    </row>
    <row r="11" customFormat="false" ht="15" hidden="false" customHeight="false" outlineLevel="0" collapsed="false">
      <c r="A11" s="23" t="n">
        <v>9</v>
      </c>
      <c r="B11" s="24" t="n">
        <f aca="false">Inputs!$B$6+7*(A11-1)</f>
        <v>46538</v>
      </c>
      <c r="C11" s="10" t="n">
        <v>6</v>
      </c>
      <c r="D11" s="23" t="n">
        <f aca="false">C11*Inputs!$B$10</f>
        <v>180</v>
      </c>
      <c r="E11" s="25" t="n">
        <f aca="false">D11*Inputs!$B$9</f>
        <v>4680</v>
      </c>
      <c r="F11" s="25" t="n">
        <f aca="false">IF(A11-Inputs!$B$24&gt;=1,INDEX($E$3:$E$15,A11-Inputs!$B$24),0)</f>
        <v>3900</v>
      </c>
      <c r="G11" s="25" t="n">
        <f aca="false">D11*Inputs!$B$8*(1+Inputs!$B$11+Inputs!$B$12+Inputs!$B$13)</f>
        <v>3264.327</v>
      </c>
      <c r="H11" s="25" t="n">
        <f aca="false">D11*Inputs!$B$14</f>
        <v>135</v>
      </c>
      <c r="I11" s="25" t="n">
        <f aca="false">G10</f>
        <v>2720.2725</v>
      </c>
      <c r="J11" s="25" t="n">
        <f aca="false">Inputs!$B$15</f>
        <v>400</v>
      </c>
      <c r="K11" s="25" t="n">
        <f aca="false">H11+I11+J11</f>
        <v>3255.2725</v>
      </c>
      <c r="L11" s="25" t="n">
        <f aca="false">L10+F11-K11</f>
        <v>8341.474</v>
      </c>
    </row>
    <row r="12" customFormat="false" ht="15" hidden="false" customHeight="false" outlineLevel="0" collapsed="false">
      <c r="A12" s="23" t="n">
        <v>10</v>
      </c>
      <c r="B12" s="24" t="n">
        <f aca="false">Inputs!$B$6+7*(A12-1)</f>
        <v>46545</v>
      </c>
      <c r="C12" s="10" t="n">
        <v>6</v>
      </c>
      <c r="D12" s="23" t="n">
        <f aca="false">C12*Inputs!$B$10</f>
        <v>180</v>
      </c>
      <c r="E12" s="25" t="n">
        <f aca="false">D12*Inputs!$B$9</f>
        <v>4680</v>
      </c>
      <c r="F12" s="25" t="n">
        <f aca="false">IF(A12-Inputs!$B$24&gt;=1,INDEX($E$3:$E$15,A12-Inputs!$B$24),0)</f>
        <v>3900</v>
      </c>
      <c r="G12" s="25" t="n">
        <f aca="false">D12*Inputs!$B$8*(1+Inputs!$B$11+Inputs!$B$12+Inputs!$B$13)</f>
        <v>3264.327</v>
      </c>
      <c r="H12" s="25" t="n">
        <f aca="false">D12*Inputs!$B$14</f>
        <v>135</v>
      </c>
      <c r="I12" s="25" t="n">
        <f aca="false">G11</f>
        <v>3264.327</v>
      </c>
      <c r="J12" s="25" t="n">
        <f aca="false">Inputs!$B$15</f>
        <v>400</v>
      </c>
      <c r="K12" s="25" t="n">
        <f aca="false">H12+I12+J12</f>
        <v>3799.327</v>
      </c>
      <c r="L12" s="25" t="n">
        <f aca="false">L11+F12-K12</f>
        <v>8442.147</v>
      </c>
    </row>
    <row r="13" customFormat="false" ht="15" hidden="false" customHeight="false" outlineLevel="0" collapsed="false">
      <c r="A13" s="23" t="n">
        <v>11</v>
      </c>
      <c r="B13" s="24" t="n">
        <f aca="false">Inputs!$B$6+7*(A13-1)</f>
        <v>46552</v>
      </c>
      <c r="C13" s="10" t="n">
        <v>6</v>
      </c>
      <c r="D13" s="23" t="n">
        <f aca="false">C13*Inputs!$B$10</f>
        <v>180</v>
      </c>
      <c r="E13" s="25" t="n">
        <f aca="false">D13*Inputs!$B$9</f>
        <v>4680</v>
      </c>
      <c r="F13" s="25" t="n">
        <f aca="false">IF(A13-Inputs!$B$24&gt;=1,INDEX($E$3:$E$15,A13-Inputs!$B$24),0)</f>
        <v>4680</v>
      </c>
      <c r="G13" s="25" t="n">
        <f aca="false">D13*Inputs!$B$8*(1+Inputs!$B$11+Inputs!$B$12+Inputs!$B$13)</f>
        <v>3264.327</v>
      </c>
      <c r="H13" s="25" t="n">
        <f aca="false">D13*Inputs!$B$14</f>
        <v>135</v>
      </c>
      <c r="I13" s="25" t="n">
        <f aca="false">G12</f>
        <v>3264.327</v>
      </c>
      <c r="J13" s="25" t="n">
        <f aca="false">Inputs!$B$15</f>
        <v>400</v>
      </c>
      <c r="K13" s="25" t="n">
        <f aca="false">H13+I13+J13</f>
        <v>3799.327</v>
      </c>
      <c r="L13" s="25" t="n">
        <f aca="false">L12+F13-K13</f>
        <v>9322.82</v>
      </c>
    </row>
    <row r="14" customFormat="false" ht="15" hidden="false" customHeight="false" outlineLevel="0" collapsed="false">
      <c r="A14" s="23" t="n">
        <v>12</v>
      </c>
      <c r="B14" s="24" t="n">
        <f aca="false">Inputs!$B$6+7*(A14-1)</f>
        <v>46559</v>
      </c>
      <c r="C14" s="10" t="n">
        <v>6</v>
      </c>
      <c r="D14" s="23" t="n">
        <f aca="false">C14*Inputs!$B$10</f>
        <v>180</v>
      </c>
      <c r="E14" s="25" t="n">
        <f aca="false">D14*Inputs!$B$9</f>
        <v>4680</v>
      </c>
      <c r="F14" s="25" t="n">
        <f aca="false">IF(A14-Inputs!$B$24&gt;=1,INDEX($E$3:$E$15,A14-Inputs!$B$24),0)</f>
        <v>4680</v>
      </c>
      <c r="G14" s="25" t="n">
        <f aca="false">D14*Inputs!$B$8*(1+Inputs!$B$11+Inputs!$B$12+Inputs!$B$13)</f>
        <v>3264.327</v>
      </c>
      <c r="H14" s="25" t="n">
        <f aca="false">D14*Inputs!$B$14</f>
        <v>135</v>
      </c>
      <c r="I14" s="25" t="n">
        <f aca="false">G13</f>
        <v>3264.327</v>
      </c>
      <c r="J14" s="25" t="n">
        <f aca="false">Inputs!$B$15</f>
        <v>400</v>
      </c>
      <c r="K14" s="25" t="n">
        <f aca="false">H14+I14+J14</f>
        <v>3799.327</v>
      </c>
      <c r="L14" s="25" t="n">
        <f aca="false">L13+F14-K14</f>
        <v>10203.493</v>
      </c>
    </row>
    <row r="15" customFormat="false" ht="15" hidden="false" customHeight="false" outlineLevel="0" collapsed="false">
      <c r="A15" s="23" t="n">
        <v>13</v>
      </c>
      <c r="B15" s="24" t="n">
        <f aca="false">Inputs!$B$6+7*(A15-1)</f>
        <v>46566</v>
      </c>
      <c r="C15" s="10" t="n">
        <v>6</v>
      </c>
      <c r="D15" s="23" t="n">
        <f aca="false">C15*Inputs!$B$10</f>
        <v>180</v>
      </c>
      <c r="E15" s="25" t="n">
        <f aca="false">D15*Inputs!$B$9</f>
        <v>4680</v>
      </c>
      <c r="F15" s="25" t="n">
        <f aca="false">IF(A15-Inputs!$B$24&gt;=1,INDEX($E$3:$E$15,A15-Inputs!$B$24),0)</f>
        <v>4680</v>
      </c>
      <c r="G15" s="25" t="n">
        <f aca="false">D15*Inputs!$B$8*(1+Inputs!$B$11+Inputs!$B$12+Inputs!$B$13)</f>
        <v>3264.327</v>
      </c>
      <c r="H15" s="25" t="n">
        <f aca="false">D15*Inputs!$B$14</f>
        <v>135</v>
      </c>
      <c r="I15" s="25" t="n">
        <f aca="false">G14</f>
        <v>3264.327</v>
      </c>
      <c r="J15" s="25" t="n">
        <f aca="false">Inputs!$B$15</f>
        <v>400</v>
      </c>
      <c r="K15" s="25" t="n">
        <f aca="false">H15+I15+J15</f>
        <v>3799.327</v>
      </c>
      <c r="L15" s="25" t="n">
        <f aca="false">L14+F15-K15</f>
        <v>11084.166</v>
      </c>
    </row>
    <row r="16" customFormat="false" ht="15" hidden="false" customHeight="false" outlineLevel="0" collapsed="false">
      <c r="A16" s="26" t="s">
        <v>60</v>
      </c>
      <c r="D16" s="17" t="n">
        <f aca="false">SUM(D3:D15)</f>
        <v>1740</v>
      </c>
      <c r="E16" s="18" t="n">
        <f aca="false">SUM(E3:E15)</f>
        <v>45240</v>
      </c>
      <c r="F16" s="18" t="n">
        <f aca="false">SUM(F3:F15)</f>
        <v>35880</v>
      </c>
      <c r="G16" s="18" t="n">
        <f aca="false">SUM(G3:G15)</f>
        <v>31555.161</v>
      </c>
      <c r="H16" s="18" t="n">
        <f aca="false">SUM(H3:H15)</f>
        <v>1305</v>
      </c>
      <c r="I16" s="18" t="n">
        <f aca="false">SUM(I3:I15)</f>
        <v>28290.834</v>
      </c>
      <c r="J16" s="18" t="n">
        <f aca="false">SUM(J3:J15)</f>
        <v>5200</v>
      </c>
      <c r="K16" s="18" t="n">
        <f aca="false">SUM(K3:K15)</f>
        <v>34795.834</v>
      </c>
    </row>
    <row r="18" customFormat="false" ht="15" hidden="false" customHeight="false" outlineLevel="0" collapsed="false">
      <c r="A18" s="27" t="s">
        <v>61</v>
      </c>
    </row>
  </sheetData>
  <conditionalFormatting sqref="L3:L15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2026-09-24T21:23:34Z</dcterms:created>
  <dc:creator>openpyxl</dc:creator>
  <dc:description/>
  <dc:language>en-US</dc:language>
  <cp:lastModifiedBy/>
  <dcterms:modified xsi:type="dcterms:W3CDTF">2026-09-24T21:23:34Z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