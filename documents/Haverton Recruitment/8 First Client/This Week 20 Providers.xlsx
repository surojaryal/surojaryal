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s Week" sheetId="1" state="visible" r:id="rId3"/>
    <sheet name="Week Plan" sheetId="2" state="visible" r:id="rId4"/>
  </sheets>
  <definedNames>
    <definedName function="false" hidden="true" localSheetId="0" name="_xlnm._FilterDatabase" vbProcedure="false">'This Week'!$A$4:$T$24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<sst xmlns="http://schemas.openxmlformats.org/spreadsheetml/2006/main" count="261" uniqueCount="199">
  <si>
    <t xml:space="preserve">This Week: 20 Providers to Contact</t>
  </si>
  <si>
    <t xml:space="preserve">Week starting Monday 28 September 2026 | Priority A = live vacancy seen on Indeed, call first | Check every number on the TPS website (Corporate TPS) before calling</t>
  </si>
  <si>
    <t xml:space="preserve">#</t>
  </si>
  <si>
    <t xml:space="preserve">Priority</t>
  </si>
  <si>
    <t xml:space="preserve">Call on</t>
  </si>
  <si>
    <t xml:space="preserve">Service</t>
  </si>
  <si>
    <t xml:space="preserve">Provider (legal entity)</t>
  </si>
  <si>
    <t xml:space="preserve">Type</t>
  </si>
  <si>
    <t xml:space="preserve">Town</t>
  </si>
  <si>
    <t xml:space="preserve">Postcode</t>
  </si>
  <si>
    <t xml:space="preserve">Miles from Swanley</t>
  </si>
  <si>
    <t xml:space="preserve">Phone</t>
  </si>
  <si>
    <t xml:space="preserve">Email found</t>
  </si>
  <si>
    <t xml:space="preserve">Website</t>
  </si>
  <si>
    <t xml:space="preserve">CQC page</t>
  </si>
  <si>
    <t xml:space="preserve">Why this one</t>
  </si>
  <si>
    <t xml:space="preserve">CTPS checked?</t>
  </si>
  <si>
    <t xml:space="preserve">Call 1 outcome</t>
  </si>
  <si>
    <t xml:space="preserve">Email sent (date)</t>
  </si>
  <si>
    <t xml:space="preserve">Follow up on</t>
  </si>
  <si>
    <t xml:space="preserve">Manager name</t>
  </si>
  <si>
    <t xml:space="preserve">Notes</t>
  </si>
  <si>
    <t xml:space="preserve">A</t>
  </si>
  <si>
    <t xml:space="preserve">SAP Care Services Limited</t>
  </si>
  <si>
    <t xml:space="preserve">Home care</t>
  </si>
  <si>
    <t xml:space="preserve">Tonbridge</t>
  </si>
  <si>
    <t xml:space="preserve">TN9 2HR</t>
  </si>
  <si>
    <t xml:space="preserve">07958558397</t>
  </si>
  <si>
    <t xml:space="preserve">Ask on the call</t>
  </si>
  <si>
    <t xml:space="preserve">https://www.sapcare.co.uk</t>
  </si>
  <si>
    <t xml:space="preserve">https://www.cqc.org.uk/location/1-3078396649</t>
  </si>
  <si>
    <t xml:space="preserve">Registered Manager vacancy advertised on Indeed (posted 18 Sep 2026, Tonbridge)</t>
  </si>
  <si>
    <t xml:space="preserve">Radfield Home Care Bromley, Orpington &amp; Beckenham</t>
  </si>
  <si>
    <t xml:space="preserve">Silestia Ltd</t>
  </si>
  <si>
    <t xml:space="preserve">Orpington</t>
  </si>
  <si>
    <t xml:space="preserve">BR5 3QB</t>
  </si>
  <si>
    <t xml:space="preserve">02080642324</t>
  </si>
  <si>
    <t xml:space="preserve">https://www.radfieldhomecare.co.uk/092/about-us</t>
  </si>
  <si>
    <t xml:space="preserve">https://www.cqc.org.uk/location/1-14144735535</t>
  </si>
  <si>
    <t xml:space="preserve">Care Assistant vacancy advertised on Indeed (posted 17 Sep 2026, Orpington)</t>
  </si>
  <si>
    <t xml:space="preserve">Lauriem White Oak Court (EC)</t>
  </si>
  <si>
    <t xml:space="preserve">Lauriem Complete Care Limited</t>
  </si>
  <si>
    <t xml:space="preserve">Swanley</t>
  </si>
  <si>
    <t xml:space="preserve">BR8 7WF</t>
  </si>
  <si>
    <t xml:space="preserve">07710096175</t>
  </si>
  <si>
    <t xml:space="preserve">https://www.cqc.org.uk/location/1-27376556091</t>
  </si>
  <si>
    <t xml:space="preserve">Care Assistant vacancy in Swanley advertised on Indeed (posted 23 Sep 2026)</t>
  </si>
  <si>
    <t xml:space="preserve">Homesdale Supported Living</t>
  </si>
  <si>
    <t xml:space="preserve">Homesdale Supported Living Ltd</t>
  </si>
  <si>
    <t xml:space="preserve">Supported living and home care</t>
  </si>
  <si>
    <t xml:space="preserve">Bromley</t>
  </si>
  <si>
    <t xml:space="preserve">BR2 9LD</t>
  </si>
  <si>
    <t xml:space="preserve">02082492902</t>
  </si>
  <si>
    <t xml:space="preserve">https://www.homesdalesupportedliving.com</t>
  </si>
  <si>
    <t xml:space="preserve">https://www.cqc.org.uk/location/1-11296003795</t>
  </si>
  <si>
    <t xml:space="preserve">Lead Support Worker vacancy advertised on Indeed (posted 24 Sep 2026, Chislehurst)</t>
  </si>
  <si>
    <t xml:space="preserve">Home Instead</t>
  </si>
  <si>
    <t xml:space="preserve">Dartford Home Care Ltd</t>
  </si>
  <si>
    <t xml:space="preserve">Erith</t>
  </si>
  <si>
    <t xml:space="preserve">DA8 1AT</t>
  </si>
  <si>
    <t xml:space="preserve">01322923750</t>
  </si>
  <si>
    <t xml:space="preserve">https://www.cqc.org.uk/location/1-7654027864</t>
  </si>
  <si>
    <t xml:space="preserve">Care Assistant vacancy in Dartford advertised on Indeed (posted 20 Aug 2026; check it is still open)</t>
  </si>
  <si>
    <t xml:space="preserve">B</t>
  </si>
  <si>
    <t xml:space="preserve">Emerson Grange</t>
  </si>
  <si>
    <t xml:space="preserve">Hextable Care Limited</t>
  </si>
  <si>
    <t xml:space="preserve">Nursing home</t>
  </si>
  <si>
    <t xml:space="preserve">BR8 7FP</t>
  </si>
  <si>
    <t xml:space="preserve">01233224040</t>
  </si>
  <si>
    <t xml:space="preserve">https://www.cqc.org.uk/location/1-5600613464</t>
  </si>
  <si>
    <t xml:space="preserve">Nursing home 1.2 miles from Swanley</t>
  </si>
  <si>
    <t xml:space="preserve">Kentwood House</t>
  </si>
  <si>
    <t xml:space="preserve">Kentwood House Ltd</t>
  </si>
  <si>
    <t xml:space="preserve">Dartford</t>
  </si>
  <si>
    <t xml:space="preserve">DA2 7QT</t>
  </si>
  <si>
    <t xml:space="preserve">01322279771</t>
  </si>
  <si>
    <t xml:space="preserve">https://www.cqc.org.uk/location/1-140506240</t>
  </si>
  <si>
    <t xml:space="preserve">Independent nursing home near Dartford</t>
  </si>
  <si>
    <t xml:space="preserve">West Hill Care Home</t>
  </si>
  <si>
    <t xml:space="preserve">West Hill Care Home LTD</t>
  </si>
  <si>
    <t xml:space="preserve">DA1 2GA</t>
  </si>
  <si>
    <t xml:space="preserve">Not listed: use website</t>
  </si>
  <si>
    <t xml:space="preserve">info@westhillcarehome.com</t>
  </si>
  <si>
    <t xml:space="preserve">https://www.westhillcarehome.com</t>
  </si>
  <si>
    <t xml:space="preserve">https://www.cqc.org.uk/location/1-10556813199</t>
  </si>
  <si>
    <t xml:space="preserve">Independent nursing home in Dartford with its own careers page</t>
  </si>
  <si>
    <t xml:space="preserve">Priory Mews Care Home</t>
  </si>
  <si>
    <t xml:space="preserve">Priory Mews Healthcare Limited</t>
  </si>
  <si>
    <t xml:space="preserve">DA2 6EG</t>
  </si>
  <si>
    <t xml:space="preserve">03333214715</t>
  </si>
  <si>
    <t xml:space="preserve">https://www.cqc.org.uk/location/1-13366549077</t>
  </si>
  <si>
    <t xml:space="preserve">Independent nursing home in Dartford</t>
  </si>
  <si>
    <t xml:space="preserve">St Aubyns Nursing Home</t>
  </si>
  <si>
    <t xml:space="preserve">Karuna Care Limited</t>
  </si>
  <si>
    <t xml:space="preserve">Sidcup</t>
  </si>
  <si>
    <t xml:space="preserve">DA15 7HJ</t>
  </si>
  <si>
    <t xml:space="preserve">02083004285</t>
  </si>
  <si>
    <t xml:space="preserve">https://www.cqc.org.uk/location/1-2027978636</t>
  </si>
  <si>
    <t xml:space="preserve">Independent nursing home in Sidcup</t>
  </si>
  <si>
    <t xml:space="preserve">Antokol</t>
  </si>
  <si>
    <t xml:space="preserve">Polish Citizens Committee Housing Association Limited</t>
  </si>
  <si>
    <t xml:space="preserve">Chislehurst</t>
  </si>
  <si>
    <t xml:space="preserve">BR7 6PE</t>
  </si>
  <si>
    <t xml:space="preserve">02084678102</t>
  </si>
  <si>
    <t xml:space="preserve">https://www.cqc.org.uk/location/1-110197479</t>
  </si>
  <si>
    <t xml:space="preserve">Nursing home in Chislehurst run by a charity</t>
  </si>
  <si>
    <t xml:space="preserve">Fairlight</t>
  </si>
  <si>
    <t xml:space="preserve">Mills Family Limited</t>
  </si>
  <si>
    <t xml:space="preserve">Residential home</t>
  </si>
  <si>
    <t xml:space="preserve">BR7 6LL</t>
  </si>
  <si>
    <t xml:space="preserve">02039171523</t>
  </si>
  <si>
    <t xml:space="preserve">https://www.millscaregroup.co.uk</t>
  </si>
  <si>
    <t xml:space="preserve">https://www.cqc.org.uk/location/1-9405286125</t>
  </si>
  <si>
    <t xml:space="preserve">Mills Care Group: two homes in Chislehurst (Fairlight and Fallowfield)</t>
  </si>
  <si>
    <t xml:space="preserve">Maples Care Home</t>
  </si>
  <si>
    <t xml:space="preserve">Ventas Opco UK Limited</t>
  </si>
  <si>
    <t xml:space="preserve">Bexleyheath</t>
  </si>
  <si>
    <t xml:space="preserve">DA7 4EU</t>
  </si>
  <si>
    <t xml:space="preserve">02082986720</t>
  </si>
  <si>
    <t xml:space="preserve">https://www.cqc.org.uk/location/1-21533595136</t>
  </si>
  <si>
    <t xml:space="preserve">Independent nursing home in Bexleyheath</t>
  </si>
  <si>
    <t xml:space="preserve">Loring Hall Limited</t>
  </si>
  <si>
    <t xml:space="preserve">Oakfields Care Limited</t>
  </si>
  <si>
    <t xml:space="preserve">DA14 5ES</t>
  </si>
  <si>
    <t xml:space="preserve">02083029302</t>
  </si>
  <si>
    <t xml:space="preserve">https://www.oakfields.net</t>
  </si>
  <si>
    <t xml:space="preserve">https://www.cqc.org.uk/location/1-126032248</t>
  </si>
  <si>
    <t xml:space="preserve">Learning disability residential service in Sidcup</t>
  </si>
  <si>
    <t xml:space="preserve">The Drive</t>
  </si>
  <si>
    <t xml:space="preserve">The Drive Care Homes Limited</t>
  </si>
  <si>
    <t xml:space="preserve">DA14 4ER</t>
  </si>
  <si>
    <t xml:space="preserve">02083090440</t>
  </si>
  <si>
    <t xml:space="preserve">https://www.drivecarehomes.co.uk</t>
  </si>
  <si>
    <t xml:space="preserve">https://www.cqc.org.uk/location/1-114664194</t>
  </si>
  <si>
    <t xml:space="preserve">Small group of homes in Sidcup</t>
  </si>
  <si>
    <t xml:space="preserve">Groveland Park Care Home</t>
  </si>
  <si>
    <t xml:space="preserve">Queensgate Healthcare Limited</t>
  </si>
  <si>
    <t xml:space="preserve">DA7 6EF</t>
  </si>
  <si>
    <t xml:space="preserve">01322523090</t>
  </si>
  <si>
    <t xml:space="preserve">https://www.cqc.org.uk/location/1-636523352</t>
  </si>
  <si>
    <t xml:space="preserve">Independent residential home in Bexleyheath</t>
  </si>
  <si>
    <t xml:space="preserve">Russell Court Nursing Home</t>
  </si>
  <si>
    <t xml:space="preserve">Russell Court Limited</t>
  </si>
  <si>
    <t xml:space="preserve">Longfield</t>
  </si>
  <si>
    <t xml:space="preserve">DA3 7RY</t>
  </si>
  <si>
    <t xml:space="preserve">01474708151</t>
  </si>
  <si>
    <t xml:space="preserve">https://www.cqc.org.uk/location/1-115959002</t>
  </si>
  <si>
    <t xml:space="preserve">Independent nursing home near Longfield</t>
  </si>
  <si>
    <t xml:space="preserve">Bramblings Residential Home</t>
  </si>
  <si>
    <t xml:space="preserve">Bramblings (Kent) Limited</t>
  </si>
  <si>
    <t xml:space="preserve">Hartley</t>
  </si>
  <si>
    <t xml:space="preserve">DA3 7PE</t>
  </si>
  <si>
    <t xml:space="preserve">01474702332</t>
  </si>
  <si>
    <t xml:space="preserve">info@bramblingscare.co.uk</t>
  </si>
  <si>
    <t xml:space="preserve">https://www.bramblings-care.com</t>
  </si>
  <si>
    <t xml:space="preserve">https://www.cqc.org.uk/location/1-142433590</t>
  </si>
  <si>
    <t xml:space="preserve">Independent residential home near Longfield</t>
  </si>
  <si>
    <t xml:space="preserve">C</t>
  </si>
  <si>
    <t xml:space="preserve">Kent Carers Limited - Head Office</t>
  </si>
  <si>
    <t xml:space="preserve">Kent Carers Limited</t>
  </si>
  <si>
    <t xml:space="preserve">DA2 7SL</t>
  </si>
  <si>
    <t xml:space="preserve">01322277944</t>
  </si>
  <si>
    <t xml:space="preserve">info@kentcarers.co.uk</t>
  </si>
  <si>
    <t xml:space="preserve">https://www.kentcarers.co.uk</t>
  </si>
  <si>
    <t xml:space="preserve">https://www.cqc.org.uk/location/1-433554121</t>
  </si>
  <si>
    <t xml:space="preserve">Established Dartford home care provider</t>
  </si>
  <si>
    <t xml:space="preserve">Athlone Care</t>
  </si>
  <si>
    <t xml:space="preserve">Athlone Care Ltd</t>
  </si>
  <si>
    <t xml:space="preserve">DA1 1RX</t>
  </si>
  <si>
    <t xml:space="preserve">01322274747</t>
  </si>
  <si>
    <t xml:space="preserve">https://www.athlonecare.com</t>
  </si>
  <si>
    <t xml:space="preserve">https://www.cqc.org.uk/location/1-437637829</t>
  </si>
  <si>
    <t xml:space="preserve">Weekly targets</t>
  </si>
  <si>
    <t xml:space="preserve">Measure</t>
  </si>
  <si>
    <t xml:space="preserve">Done</t>
  </si>
  <si>
    <t xml:space="preserve">Target</t>
  </si>
  <si>
    <t xml:space="preserve">Calls made</t>
  </si>
  <si>
    <t xml:space="preserve">Emails sent</t>
  </si>
  <si>
    <t xml:space="preserve">Meetings booked</t>
  </si>
  <si>
    <t xml:space="preserve">Vacancies found</t>
  </si>
  <si>
    <t xml:space="preserve">Day</t>
  </si>
  <si>
    <t xml:space="preserve">What to do</t>
  </si>
  <si>
    <t xml:space="preserve">Time</t>
  </si>
  <si>
    <t xml:space="preserve">Mon 28 Sep</t>
  </si>
  <si>
    <t xml:space="preserve">Check all 20 numbers on the TPS website. Call the 5 Priority A providers (live vacancies). Send the matching email from "This Week Emails" straight after each call, or if nobody answers.</t>
  </si>
  <si>
    <t xml:space="preserve">3 hours</t>
  </si>
  <si>
    <t xml:space="preserve">Tue 29 Sep</t>
  </si>
  <si>
    <t xml:space="preserve">Call providers 6 to 12. Send emails after each call.</t>
  </si>
  <si>
    <t xml:space="preserve">2.5 hours</t>
  </si>
  <si>
    <t xml:space="preserve">Wed 30 Sep</t>
  </si>
  <si>
    <t xml:space="preserve">Call providers 13 to 20. Send emails after each call.</t>
  </si>
  <si>
    <t xml:space="preserve">Thu 1 Oct</t>
  </si>
  <si>
    <t xml:space="preserve">Discovery meetings or calls that got booked. Send Client Terms and Fee Proposal Letter within 24 hours of any interested provider. Post Advert 1 on Facebook and LinkedIn.</t>
  </si>
  <si>
    <t xml:space="preserve">2 hours</t>
  </si>
  <si>
    <t xml:space="preserve">Fri 2 Oct</t>
  </si>
  <si>
    <t xml:space="preserve">Weekly review: update CRM statuses, fill the targets box, pick next week's 20 from Target Providers.</t>
  </si>
  <si>
    <t xml:space="preserve">1 hour</t>
  </si>
  <si>
    <t xml:space="preserve">Mon 5 Oct</t>
  </si>
  <si>
    <t xml:space="preserve">Send follow-up email to everyone who has not replied (Email 3 in the pack). Second call to anyone who said "call back".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</si>
</sst>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d\ dd/mm"/>
    <numFmt numFmtId="166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B45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1F4E9A"/>
      <name val="Arial"/>
      <family val="0"/>
      <charset val="1"/>
    </font>
    <font>
      <b val="true"/>
      <sz val="13"/>
      <color rgb="FF1B2B45"/>
      <name val="Arial"/>
      <family val="0"/>
      <charset val="1"/>
    </font>
    <font>
      <sz val="11"/>
      <color rgb="FF3333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B45"/>
        <bgColor rgb="FF333333"/>
      </patternFill>
    </fill>
    <fill>
      <patternFill patternType="solid">
        <fgColor rgb="FF8A6D2F"/>
        <bgColor rgb="FF808080"/>
      </patternFill>
    </fill>
    <fill>
      <patternFill patternType="solid">
        <fgColor rgb="FFFFF6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B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E9A"/>
          <bgColor rgb="FF000000"/>
        </patternFill>
      </fill>
    </dxf>
    <dxf>
      <fill>
        <patternFill patternType="solid">
          <fgColor rgb="FF8A6D2F"/>
          <bgColor rgb="FF000000"/>
        </patternFill>
      </fill>
    </dxf>
    <dxf>
      <fill>
        <patternFill patternType="solid">
          <fgColor rgb="FFFFF6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F"/>
      <rgbColor rgb="FF800080"/>
      <rgbColor rgb="FF008080"/>
      <rgbColor rgb="FFD9D2C3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2B45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qc.org.uk/location/1-3078396649" TargetMode="External"/><Relationship Id="rId2" Type="http://schemas.openxmlformats.org/officeDocument/2006/relationships/hyperlink" Target="https://www.cqc.org.uk/location/1-14144735535" TargetMode="External"/><Relationship Id="rId3" Type="http://schemas.openxmlformats.org/officeDocument/2006/relationships/hyperlink" Target="https://www.cqc.org.uk/location/1-27376556091" TargetMode="External"/><Relationship Id="rId4" Type="http://schemas.openxmlformats.org/officeDocument/2006/relationships/hyperlink" Target="https://www.cqc.org.uk/location/1-11296003795" TargetMode="External"/><Relationship Id="rId5" Type="http://schemas.openxmlformats.org/officeDocument/2006/relationships/hyperlink" Target="https://www.cqc.org.uk/location/1-7654027864" TargetMode="External"/><Relationship Id="rId6" Type="http://schemas.openxmlformats.org/officeDocument/2006/relationships/hyperlink" Target="https://www.cqc.org.uk/location/1-5600613464" TargetMode="External"/><Relationship Id="rId7" Type="http://schemas.openxmlformats.org/officeDocument/2006/relationships/hyperlink" Target="https://www.cqc.org.uk/location/1-140506240" TargetMode="External"/><Relationship Id="rId8" Type="http://schemas.openxmlformats.org/officeDocument/2006/relationships/hyperlink" Target="https://www.cqc.org.uk/location/1-10556813199" TargetMode="External"/><Relationship Id="rId9" Type="http://schemas.openxmlformats.org/officeDocument/2006/relationships/hyperlink" Target="https://www.cqc.org.uk/location/1-13366549077" TargetMode="External"/><Relationship Id="rId10" Type="http://schemas.openxmlformats.org/officeDocument/2006/relationships/hyperlink" Target="https://www.cqc.org.uk/location/1-2027978636" TargetMode="External"/><Relationship Id="rId11" Type="http://schemas.openxmlformats.org/officeDocument/2006/relationships/hyperlink" Target="https://www.cqc.org.uk/location/1-110197479" TargetMode="External"/><Relationship Id="rId12" Type="http://schemas.openxmlformats.org/officeDocument/2006/relationships/hyperlink" Target="https://www.cqc.org.uk/location/1-9405286125" TargetMode="External"/><Relationship Id="rId13" Type="http://schemas.openxmlformats.org/officeDocument/2006/relationships/hyperlink" Target="https://www.cqc.org.uk/location/1-21533595136" TargetMode="External"/><Relationship Id="rId14" Type="http://schemas.openxmlformats.org/officeDocument/2006/relationships/hyperlink" Target="https://www.cqc.org.uk/location/1-126032248" TargetMode="External"/><Relationship Id="rId15" Type="http://schemas.openxmlformats.org/officeDocument/2006/relationships/hyperlink" Target="https://www.cqc.org.uk/location/1-114664194" TargetMode="External"/><Relationship Id="rId16" Type="http://schemas.openxmlformats.org/officeDocument/2006/relationships/hyperlink" Target="https://www.cqc.org.uk/location/1-636523352" TargetMode="External"/><Relationship Id="rId17" Type="http://schemas.openxmlformats.org/officeDocument/2006/relationships/hyperlink" Target="https://www.cqc.org.uk/location/1-115959002" TargetMode="External"/><Relationship Id="rId18" Type="http://schemas.openxmlformats.org/officeDocument/2006/relationships/hyperlink" Target="https://www.cqc.org.uk/location/1-142433590" TargetMode="External"/><Relationship Id="rId19" Type="http://schemas.openxmlformats.org/officeDocument/2006/relationships/hyperlink" Target="https://www.cqc.org.uk/location/1-433554121" TargetMode="External"/><Relationship Id="rId20" Type="http://schemas.openxmlformats.org/officeDocument/2006/relationships/hyperlink" Target="https://www.cqc.org.uk/location/1-437637829" TargetMode="External"/><Relationship Id="rId2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34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3" min="13" style="0" width="40"/>
    <col collapsed="false" customWidth="true" hidden="false" outlineLevel="0" max="14" min="14" style="0" width="50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20"/>
    <col collapsed="false" customWidth="true" hidden="false" outlineLevel="0" max="20" min="20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</row>
    <row r="5" customFormat="false" ht="26.85" hidden="false" customHeight="false" outlineLevel="0" collapsed="false">
      <c r="A5" s="5" t="n">
        <v>1</v>
      </c>
      <c r="B5" s="5" t="s">
        <v>22</v>
      </c>
      <c r="C5" s="6" t="n">
        <v>46293</v>
      </c>
      <c r="D5" s="7" t="s">
        <v>23</v>
      </c>
      <c r="E5" s="8" t="s">
        <v>23</v>
      </c>
      <c r="F5" s="9" t="s">
        <v>24</v>
      </c>
      <c r="G5" s="9" t="s">
        <v>25</v>
      </c>
      <c r="H5" s="9" t="s">
        <v>26</v>
      </c>
      <c r="I5" s="9" t="n">
        <v>14.8</v>
      </c>
      <c r="J5" s="9" t="s">
        <v>27</v>
      </c>
      <c r="K5" s="9" t="s">
        <v>28</v>
      </c>
      <c r="L5" s="9" t="s">
        <v>29</v>
      </c>
      <c r="M5" s="10" t="s">
        <v>30</v>
      </c>
      <c r="N5" s="8" t="s">
        <v>31</v>
      </c>
      <c r="O5" s="11"/>
      <c r="P5" s="11"/>
      <c r="Q5" s="12"/>
      <c r="R5" s="12" t="str">
        <f aca="false">IF(Q5="","",Q5+7)</f>
        <v/>
      </c>
      <c r="S5" s="11"/>
      <c r="T5" s="11"/>
    </row>
    <row r="6" customFormat="false" ht="26.85" hidden="false" customHeight="false" outlineLevel="0" collapsed="false">
      <c r="A6" s="5" t="n">
        <v>2</v>
      </c>
      <c r="B6" s="5" t="s">
        <v>22</v>
      </c>
      <c r="C6" s="6" t="n">
        <v>46293</v>
      </c>
      <c r="D6" s="7" t="s">
        <v>32</v>
      </c>
      <c r="E6" s="8" t="s">
        <v>33</v>
      </c>
      <c r="F6" s="9" t="s">
        <v>24</v>
      </c>
      <c r="G6" s="9" t="s">
        <v>34</v>
      </c>
      <c r="H6" s="9" t="s">
        <v>35</v>
      </c>
      <c r="I6" s="9" t="n">
        <v>2.9</v>
      </c>
      <c r="J6" s="9" t="s">
        <v>36</v>
      </c>
      <c r="K6" s="9" t="s">
        <v>28</v>
      </c>
      <c r="L6" s="9" t="s">
        <v>37</v>
      </c>
      <c r="M6" s="10" t="s">
        <v>38</v>
      </c>
      <c r="N6" s="8" t="s">
        <v>39</v>
      </c>
      <c r="O6" s="11"/>
      <c r="P6" s="11"/>
      <c r="Q6" s="12"/>
      <c r="R6" s="12" t="str">
        <f aca="false">IF(Q6="","",Q6+7)</f>
        <v/>
      </c>
      <c r="S6" s="11"/>
      <c r="T6" s="11"/>
    </row>
    <row r="7" customFormat="false" ht="26.85" hidden="false" customHeight="false" outlineLevel="0" collapsed="false">
      <c r="A7" s="5" t="n">
        <v>3</v>
      </c>
      <c r="B7" s="5" t="s">
        <v>22</v>
      </c>
      <c r="C7" s="6" t="n">
        <v>46293</v>
      </c>
      <c r="D7" s="7" t="s">
        <v>40</v>
      </c>
      <c r="E7" s="8" t="s">
        <v>41</v>
      </c>
      <c r="F7" s="9" t="s">
        <v>24</v>
      </c>
      <c r="G7" s="9" t="s">
        <v>42</v>
      </c>
      <c r="H7" s="9" t="s">
        <v>43</v>
      </c>
      <c r="I7" s="9" t="n">
        <v>0.3</v>
      </c>
      <c r="J7" s="9" t="s">
        <v>44</v>
      </c>
      <c r="K7" s="9" t="s">
        <v>28</v>
      </c>
      <c r="L7" s="9"/>
      <c r="M7" s="10" t="s">
        <v>45</v>
      </c>
      <c r="N7" s="8" t="s">
        <v>46</v>
      </c>
      <c r="O7" s="11"/>
      <c r="P7" s="11"/>
      <c r="Q7" s="12"/>
      <c r="R7" s="12" t="str">
        <f aca="false">IF(Q7="","",Q7+7)</f>
        <v/>
      </c>
      <c r="S7" s="11"/>
      <c r="T7" s="11"/>
    </row>
    <row r="8" customFormat="false" ht="26.85" hidden="false" customHeight="false" outlineLevel="0" collapsed="false">
      <c r="A8" s="5" t="n">
        <v>4</v>
      </c>
      <c r="B8" s="5" t="s">
        <v>22</v>
      </c>
      <c r="C8" s="6" t="n">
        <v>46293</v>
      </c>
      <c r="D8" s="7" t="s">
        <v>47</v>
      </c>
      <c r="E8" s="8" t="s">
        <v>48</v>
      </c>
      <c r="F8" s="9" t="s">
        <v>49</v>
      </c>
      <c r="G8" s="9" t="s">
        <v>50</v>
      </c>
      <c r="H8" s="9" t="s">
        <v>51</v>
      </c>
      <c r="I8" s="9" t="n">
        <v>6.3</v>
      </c>
      <c r="J8" s="9" t="s">
        <v>52</v>
      </c>
      <c r="K8" s="9" t="s">
        <v>28</v>
      </c>
      <c r="L8" s="9" t="s">
        <v>53</v>
      </c>
      <c r="M8" s="10" t="s">
        <v>54</v>
      </c>
      <c r="N8" s="8" t="s">
        <v>55</v>
      </c>
      <c r="O8" s="11"/>
      <c r="P8" s="11"/>
      <c r="Q8" s="12"/>
      <c r="R8" s="12" t="str">
        <f aca="false">IF(Q8="","",Q8+7)</f>
        <v/>
      </c>
      <c r="S8" s="11"/>
      <c r="T8" s="11"/>
    </row>
    <row r="9" customFormat="false" ht="26.85" hidden="false" customHeight="false" outlineLevel="0" collapsed="false">
      <c r="A9" s="5" t="n">
        <v>5</v>
      </c>
      <c r="B9" s="5" t="s">
        <v>22</v>
      </c>
      <c r="C9" s="6" t="n">
        <v>46293</v>
      </c>
      <c r="D9" s="7" t="s">
        <v>56</v>
      </c>
      <c r="E9" s="8" t="s">
        <v>57</v>
      </c>
      <c r="F9" s="9" t="s">
        <v>24</v>
      </c>
      <c r="G9" s="9" t="s">
        <v>58</v>
      </c>
      <c r="H9" s="9" t="s">
        <v>59</v>
      </c>
      <c r="I9" s="9" t="n">
        <v>6.2</v>
      </c>
      <c r="J9" s="9" t="s">
        <v>60</v>
      </c>
      <c r="K9" s="9" t="s">
        <v>28</v>
      </c>
      <c r="L9" s="9"/>
      <c r="M9" s="10" t="s">
        <v>61</v>
      </c>
      <c r="N9" s="8" t="s">
        <v>62</v>
      </c>
      <c r="O9" s="11"/>
      <c r="P9" s="11"/>
      <c r="Q9" s="12"/>
      <c r="R9" s="12" t="str">
        <f aca="false">IF(Q9="","",Q9+7)</f>
        <v/>
      </c>
      <c r="S9" s="11"/>
      <c r="T9" s="11"/>
    </row>
    <row r="10" customFormat="false" ht="15" hidden="false" customHeight="false" outlineLevel="0" collapsed="false">
      <c r="A10" s="9" t="n">
        <v>6</v>
      </c>
      <c r="B10" s="9" t="s">
        <v>63</v>
      </c>
      <c r="C10" s="6" t="n">
        <v>46294</v>
      </c>
      <c r="D10" s="8" t="s">
        <v>64</v>
      </c>
      <c r="E10" s="8" t="s">
        <v>65</v>
      </c>
      <c r="F10" s="9" t="s">
        <v>66</v>
      </c>
      <c r="G10" s="9" t="s">
        <v>42</v>
      </c>
      <c r="H10" s="9" t="s">
        <v>67</v>
      </c>
      <c r="I10" s="9" t="n">
        <v>1.2</v>
      </c>
      <c r="J10" s="9" t="s">
        <v>68</v>
      </c>
      <c r="K10" s="9" t="s">
        <v>28</v>
      </c>
      <c r="L10" s="9"/>
      <c r="M10" s="10" t="s">
        <v>69</v>
      </c>
      <c r="N10" s="8" t="s">
        <v>70</v>
      </c>
      <c r="O10" s="11"/>
      <c r="P10" s="11"/>
      <c r="Q10" s="12"/>
      <c r="R10" s="12" t="str">
        <f aca="false">IF(Q10="","",Q10+7)</f>
        <v/>
      </c>
      <c r="S10" s="11"/>
      <c r="T10" s="11"/>
    </row>
    <row r="11" customFormat="false" ht="15" hidden="false" customHeight="false" outlineLevel="0" collapsed="false">
      <c r="A11" s="9" t="n">
        <v>7</v>
      </c>
      <c r="B11" s="9" t="s">
        <v>63</v>
      </c>
      <c r="C11" s="6" t="n">
        <v>46294</v>
      </c>
      <c r="D11" s="8" t="s">
        <v>71</v>
      </c>
      <c r="E11" s="8" t="s">
        <v>72</v>
      </c>
      <c r="F11" s="9" t="s">
        <v>66</v>
      </c>
      <c r="G11" s="9" t="s">
        <v>73</v>
      </c>
      <c r="H11" s="9" t="s">
        <v>74</v>
      </c>
      <c r="I11" s="9" t="n">
        <v>3.4</v>
      </c>
      <c r="J11" s="9" t="s">
        <v>75</v>
      </c>
      <c r="K11" s="9" t="s">
        <v>28</v>
      </c>
      <c r="L11" s="9"/>
      <c r="M11" s="10" t="s">
        <v>76</v>
      </c>
      <c r="N11" s="8" t="s">
        <v>77</v>
      </c>
      <c r="O11" s="11"/>
      <c r="P11" s="11"/>
      <c r="Q11" s="12"/>
      <c r="R11" s="12" t="str">
        <f aca="false">IF(Q11="","",Q11+7)</f>
        <v/>
      </c>
      <c r="S11" s="11"/>
      <c r="T11" s="11"/>
    </row>
    <row r="12" customFormat="false" ht="15" hidden="false" customHeight="false" outlineLevel="0" collapsed="false">
      <c r="A12" s="9" t="n">
        <v>8</v>
      </c>
      <c r="B12" s="9" t="s">
        <v>63</v>
      </c>
      <c r="C12" s="6" t="n">
        <v>46294</v>
      </c>
      <c r="D12" s="8" t="s">
        <v>78</v>
      </c>
      <c r="E12" s="8" t="s">
        <v>79</v>
      </c>
      <c r="F12" s="9" t="s">
        <v>66</v>
      </c>
      <c r="G12" s="9" t="s">
        <v>73</v>
      </c>
      <c r="H12" s="9" t="s">
        <v>80</v>
      </c>
      <c r="I12" s="9" t="n">
        <v>3.8</v>
      </c>
      <c r="J12" s="9" t="s">
        <v>81</v>
      </c>
      <c r="K12" s="9" t="s">
        <v>82</v>
      </c>
      <c r="L12" s="9" t="s">
        <v>83</v>
      </c>
      <c r="M12" s="10" t="s">
        <v>84</v>
      </c>
      <c r="N12" s="8" t="s">
        <v>85</v>
      </c>
      <c r="O12" s="11"/>
      <c r="P12" s="11"/>
      <c r="Q12" s="12"/>
      <c r="R12" s="12" t="str">
        <f aca="false">IF(Q12="","",Q12+7)</f>
        <v/>
      </c>
      <c r="S12" s="11"/>
      <c r="T12" s="11"/>
    </row>
    <row r="13" customFormat="false" ht="15" hidden="false" customHeight="false" outlineLevel="0" collapsed="false">
      <c r="A13" s="9" t="n">
        <v>9</v>
      </c>
      <c r="B13" s="9" t="s">
        <v>63</v>
      </c>
      <c r="C13" s="6" t="n">
        <v>46294</v>
      </c>
      <c r="D13" s="8" t="s">
        <v>86</v>
      </c>
      <c r="E13" s="8" t="s">
        <v>87</v>
      </c>
      <c r="F13" s="9" t="s">
        <v>66</v>
      </c>
      <c r="G13" s="9" t="s">
        <v>73</v>
      </c>
      <c r="H13" s="9" t="s">
        <v>88</v>
      </c>
      <c r="I13" s="9" t="n">
        <v>4.3</v>
      </c>
      <c r="J13" s="9" t="s">
        <v>89</v>
      </c>
      <c r="K13" s="9" t="s">
        <v>28</v>
      </c>
      <c r="L13" s="9"/>
      <c r="M13" s="10" t="s">
        <v>90</v>
      </c>
      <c r="N13" s="8" t="s">
        <v>91</v>
      </c>
      <c r="O13" s="11"/>
      <c r="P13" s="11"/>
      <c r="Q13" s="12"/>
      <c r="R13" s="12" t="str">
        <f aca="false">IF(Q13="","",Q13+7)</f>
        <v/>
      </c>
      <c r="S13" s="11"/>
      <c r="T13" s="11"/>
    </row>
    <row r="14" customFormat="false" ht="15" hidden="false" customHeight="false" outlineLevel="0" collapsed="false">
      <c r="A14" s="9" t="n">
        <v>10</v>
      </c>
      <c r="B14" s="9" t="s">
        <v>63</v>
      </c>
      <c r="C14" s="6" t="n">
        <v>46294</v>
      </c>
      <c r="D14" s="8" t="s">
        <v>92</v>
      </c>
      <c r="E14" s="8" t="s">
        <v>93</v>
      </c>
      <c r="F14" s="9" t="s">
        <v>66</v>
      </c>
      <c r="G14" s="9" t="s">
        <v>94</v>
      </c>
      <c r="H14" s="9" t="s">
        <v>95</v>
      </c>
      <c r="I14" s="9" t="n">
        <v>4.1</v>
      </c>
      <c r="J14" s="9" t="s">
        <v>96</v>
      </c>
      <c r="K14" s="9" t="s">
        <v>28</v>
      </c>
      <c r="L14" s="9"/>
      <c r="M14" s="10" t="s">
        <v>97</v>
      </c>
      <c r="N14" s="8" t="s">
        <v>98</v>
      </c>
      <c r="O14" s="11"/>
      <c r="P14" s="11"/>
      <c r="Q14" s="12"/>
      <c r="R14" s="12" t="str">
        <f aca="false">IF(Q14="","",Q14+7)</f>
        <v/>
      </c>
      <c r="S14" s="11"/>
      <c r="T14" s="11"/>
    </row>
    <row r="15" customFormat="false" ht="26.85" hidden="false" customHeight="false" outlineLevel="0" collapsed="false">
      <c r="A15" s="9" t="n">
        <v>11</v>
      </c>
      <c r="B15" s="9" t="s">
        <v>63</v>
      </c>
      <c r="C15" s="6" t="n">
        <v>46294</v>
      </c>
      <c r="D15" s="8" t="s">
        <v>99</v>
      </c>
      <c r="E15" s="8" t="s">
        <v>100</v>
      </c>
      <c r="F15" s="9" t="s">
        <v>66</v>
      </c>
      <c r="G15" s="9" t="s">
        <v>101</v>
      </c>
      <c r="H15" s="9" t="s">
        <v>102</v>
      </c>
      <c r="I15" s="9" t="n">
        <v>4.1</v>
      </c>
      <c r="J15" s="9" t="s">
        <v>103</v>
      </c>
      <c r="K15" s="9" t="s">
        <v>28</v>
      </c>
      <c r="L15" s="9"/>
      <c r="M15" s="10" t="s">
        <v>104</v>
      </c>
      <c r="N15" s="8" t="s">
        <v>105</v>
      </c>
      <c r="O15" s="11"/>
      <c r="P15" s="11"/>
      <c r="Q15" s="12"/>
      <c r="R15" s="12" t="str">
        <f aca="false">IF(Q15="","",Q15+7)</f>
        <v/>
      </c>
      <c r="S15" s="11"/>
      <c r="T15" s="11"/>
    </row>
    <row r="16" customFormat="false" ht="26.85" hidden="false" customHeight="false" outlineLevel="0" collapsed="false">
      <c r="A16" s="9" t="n">
        <v>12</v>
      </c>
      <c r="B16" s="9" t="s">
        <v>63</v>
      </c>
      <c r="C16" s="6" t="n">
        <v>46294</v>
      </c>
      <c r="D16" s="8" t="s">
        <v>106</v>
      </c>
      <c r="E16" s="8" t="s">
        <v>107</v>
      </c>
      <c r="F16" s="9" t="s">
        <v>108</v>
      </c>
      <c r="G16" s="9" t="s">
        <v>101</v>
      </c>
      <c r="H16" s="9" t="s">
        <v>109</v>
      </c>
      <c r="I16" s="9" t="n">
        <v>4.3</v>
      </c>
      <c r="J16" s="9" t="s">
        <v>110</v>
      </c>
      <c r="K16" s="9" t="s">
        <v>28</v>
      </c>
      <c r="L16" s="9" t="s">
        <v>111</v>
      </c>
      <c r="M16" s="10" t="s">
        <v>112</v>
      </c>
      <c r="N16" s="8" t="s">
        <v>113</v>
      </c>
      <c r="O16" s="11"/>
      <c r="P16" s="11"/>
      <c r="Q16" s="12"/>
      <c r="R16" s="12" t="str">
        <f aca="false">IF(Q16="","",Q16+7)</f>
        <v/>
      </c>
      <c r="S16" s="11"/>
      <c r="T16" s="11"/>
    </row>
    <row r="17" customFormat="false" ht="15" hidden="false" customHeight="false" outlineLevel="0" collapsed="false">
      <c r="A17" s="9" t="n">
        <v>13</v>
      </c>
      <c r="B17" s="9" t="s">
        <v>63</v>
      </c>
      <c r="C17" s="6" t="n">
        <v>46295</v>
      </c>
      <c r="D17" s="8" t="s">
        <v>114</v>
      </c>
      <c r="E17" s="8" t="s">
        <v>115</v>
      </c>
      <c r="F17" s="9" t="s">
        <v>66</v>
      </c>
      <c r="G17" s="9" t="s">
        <v>116</v>
      </c>
      <c r="H17" s="9" t="s">
        <v>117</v>
      </c>
      <c r="I17" s="9" t="n">
        <v>4.9</v>
      </c>
      <c r="J17" s="9" t="s">
        <v>118</v>
      </c>
      <c r="K17" s="9" t="s">
        <v>28</v>
      </c>
      <c r="L17" s="9"/>
      <c r="M17" s="10" t="s">
        <v>119</v>
      </c>
      <c r="N17" s="8" t="s">
        <v>120</v>
      </c>
      <c r="O17" s="11"/>
      <c r="P17" s="11"/>
      <c r="Q17" s="12"/>
      <c r="R17" s="12" t="str">
        <f aca="false">IF(Q17="","",Q17+7)</f>
        <v/>
      </c>
      <c r="S17" s="11"/>
      <c r="T17" s="11"/>
    </row>
    <row r="18" customFormat="false" ht="15" hidden="false" customHeight="false" outlineLevel="0" collapsed="false">
      <c r="A18" s="9" t="n">
        <v>14</v>
      </c>
      <c r="B18" s="9" t="s">
        <v>63</v>
      </c>
      <c r="C18" s="6" t="n">
        <v>46295</v>
      </c>
      <c r="D18" s="8" t="s">
        <v>121</v>
      </c>
      <c r="E18" s="8" t="s">
        <v>122</v>
      </c>
      <c r="F18" s="9" t="s">
        <v>108</v>
      </c>
      <c r="G18" s="9" t="s">
        <v>94</v>
      </c>
      <c r="H18" s="9" t="s">
        <v>123</v>
      </c>
      <c r="I18" s="9" t="n">
        <v>2.9</v>
      </c>
      <c r="J18" s="9" t="s">
        <v>124</v>
      </c>
      <c r="K18" s="9" t="s">
        <v>28</v>
      </c>
      <c r="L18" s="9" t="s">
        <v>125</v>
      </c>
      <c r="M18" s="10" t="s">
        <v>126</v>
      </c>
      <c r="N18" s="8" t="s">
        <v>127</v>
      </c>
      <c r="O18" s="11"/>
      <c r="P18" s="11"/>
      <c r="Q18" s="12"/>
      <c r="R18" s="12" t="str">
        <f aca="false">IF(Q18="","",Q18+7)</f>
        <v/>
      </c>
      <c r="S18" s="11"/>
      <c r="T18" s="11"/>
    </row>
    <row r="19" customFormat="false" ht="15" hidden="false" customHeight="false" outlineLevel="0" collapsed="false">
      <c r="A19" s="9" t="n">
        <v>15</v>
      </c>
      <c r="B19" s="9" t="s">
        <v>63</v>
      </c>
      <c r="C19" s="6" t="n">
        <v>46295</v>
      </c>
      <c r="D19" s="8" t="s">
        <v>128</v>
      </c>
      <c r="E19" s="8" t="s">
        <v>129</v>
      </c>
      <c r="F19" s="9" t="s">
        <v>108</v>
      </c>
      <c r="G19" s="9" t="s">
        <v>94</v>
      </c>
      <c r="H19" s="9" t="s">
        <v>130</v>
      </c>
      <c r="I19" s="9" t="n">
        <v>3.4</v>
      </c>
      <c r="J19" s="9" t="s">
        <v>131</v>
      </c>
      <c r="K19" s="9" t="s">
        <v>28</v>
      </c>
      <c r="L19" s="9" t="s">
        <v>132</v>
      </c>
      <c r="M19" s="10" t="s">
        <v>133</v>
      </c>
      <c r="N19" s="8" t="s">
        <v>134</v>
      </c>
      <c r="O19" s="11"/>
      <c r="P19" s="11"/>
      <c r="Q19" s="12"/>
      <c r="R19" s="12" t="str">
        <f aca="false">IF(Q19="","",Q19+7)</f>
        <v/>
      </c>
      <c r="S19" s="11"/>
      <c r="T19" s="11"/>
    </row>
    <row r="20" customFormat="false" ht="15" hidden="false" customHeight="false" outlineLevel="0" collapsed="false">
      <c r="A20" s="9" t="n">
        <v>16</v>
      </c>
      <c r="B20" s="9" t="s">
        <v>63</v>
      </c>
      <c r="C20" s="6" t="n">
        <v>46295</v>
      </c>
      <c r="D20" s="8" t="s">
        <v>135</v>
      </c>
      <c r="E20" s="8" t="s">
        <v>136</v>
      </c>
      <c r="F20" s="9" t="s">
        <v>108</v>
      </c>
      <c r="G20" s="9" t="s">
        <v>116</v>
      </c>
      <c r="H20" s="9" t="s">
        <v>137</v>
      </c>
      <c r="I20" s="9" t="n">
        <v>4.4</v>
      </c>
      <c r="J20" s="9" t="s">
        <v>138</v>
      </c>
      <c r="K20" s="9" t="s">
        <v>28</v>
      </c>
      <c r="L20" s="9"/>
      <c r="M20" s="10" t="s">
        <v>139</v>
      </c>
      <c r="N20" s="8" t="s">
        <v>140</v>
      </c>
      <c r="O20" s="11"/>
      <c r="P20" s="11"/>
      <c r="Q20" s="12"/>
      <c r="R20" s="12" t="str">
        <f aca="false">IF(Q20="","",Q20+7)</f>
        <v/>
      </c>
      <c r="S20" s="11"/>
      <c r="T20" s="11"/>
    </row>
    <row r="21" customFormat="false" ht="15" hidden="false" customHeight="false" outlineLevel="0" collapsed="false">
      <c r="A21" s="9" t="n">
        <v>17</v>
      </c>
      <c r="B21" s="9" t="s">
        <v>63</v>
      </c>
      <c r="C21" s="6" t="n">
        <v>46295</v>
      </c>
      <c r="D21" s="8" t="s">
        <v>141</v>
      </c>
      <c r="E21" s="8" t="s">
        <v>142</v>
      </c>
      <c r="F21" s="9" t="s">
        <v>66</v>
      </c>
      <c r="G21" s="9" t="s">
        <v>143</v>
      </c>
      <c r="H21" s="9" t="s">
        <v>144</v>
      </c>
      <c r="I21" s="9" t="n">
        <v>5.3</v>
      </c>
      <c r="J21" s="9" t="s">
        <v>145</v>
      </c>
      <c r="K21" s="9" t="s">
        <v>28</v>
      </c>
      <c r="L21" s="9"/>
      <c r="M21" s="10" t="s">
        <v>146</v>
      </c>
      <c r="N21" s="8" t="s">
        <v>147</v>
      </c>
      <c r="O21" s="11"/>
      <c r="P21" s="11"/>
      <c r="Q21" s="12"/>
      <c r="R21" s="12" t="str">
        <f aca="false">IF(Q21="","",Q21+7)</f>
        <v/>
      </c>
      <c r="S21" s="11"/>
      <c r="T21" s="11"/>
    </row>
    <row r="22" customFormat="false" ht="15" hidden="false" customHeight="false" outlineLevel="0" collapsed="false">
      <c r="A22" s="9" t="n">
        <v>18</v>
      </c>
      <c r="B22" s="9" t="s">
        <v>63</v>
      </c>
      <c r="C22" s="6" t="n">
        <v>46295</v>
      </c>
      <c r="D22" s="8" t="s">
        <v>148</v>
      </c>
      <c r="E22" s="8" t="s">
        <v>149</v>
      </c>
      <c r="F22" s="9" t="s">
        <v>108</v>
      </c>
      <c r="G22" s="9" t="s">
        <v>150</v>
      </c>
      <c r="H22" s="9" t="s">
        <v>151</v>
      </c>
      <c r="I22" s="9" t="n">
        <v>5.5</v>
      </c>
      <c r="J22" s="9" t="s">
        <v>152</v>
      </c>
      <c r="K22" s="9" t="s">
        <v>153</v>
      </c>
      <c r="L22" s="9" t="s">
        <v>154</v>
      </c>
      <c r="M22" s="10" t="s">
        <v>155</v>
      </c>
      <c r="N22" s="8" t="s">
        <v>156</v>
      </c>
      <c r="O22" s="11"/>
      <c r="P22" s="11"/>
      <c r="Q22" s="12"/>
      <c r="R22" s="12" t="str">
        <f aca="false">IF(Q22="","",Q22+7)</f>
        <v/>
      </c>
      <c r="S22" s="11"/>
      <c r="T22" s="11"/>
    </row>
    <row r="23" customFormat="false" ht="15" hidden="false" customHeight="false" outlineLevel="0" collapsed="false">
      <c r="A23" s="9" t="n">
        <v>19</v>
      </c>
      <c r="B23" s="9" t="s">
        <v>157</v>
      </c>
      <c r="C23" s="6" t="n">
        <v>46295</v>
      </c>
      <c r="D23" s="8" t="s">
        <v>158</v>
      </c>
      <c r="E23" s="8" t="s">
        <v>159</v>
      </c>
      <c r="F23" s="9" t="s">
        <v>24</v>
      </c>
      <c r="G23" s="9" t="s">
        <v>73</v>
      </c>
      <c r="H23" s="9" t="s">
        <v>160</v>
      </c>
      <c r="I23" s="9" t="n">
        <v>2.4</v>
      </c>
      <c r="J23" s="9" t="s">
        <v>161</v>
      </c>
      <c r="K23" s="9" t="s">
        <v>162</v>
      </c>
      <c r="L23" s="9" t="s">
        <v>163</v>
      </c>
      <c r="M23" s="10" t="s">
        <v>164</v>
      </c>
      <c r="N23" s="8" t="s">
        <v>165</v>
      </c>
      <c r="O23" s="11"/>
      <c r="P23" s="11"/>
      <c r="Q23" s="12"/>
      <c r="R23" s="12" t="str">
        <f aca="false">IF(Q23="","",Q23+7)</f>
        <v/>
      </c>
      <c r="S23" s="11"/>
      <c r="T23" s="11"/>
    </row>
    <row r="24" customFormat="false" ht="15" hidden="false" customHeight="false" outlineLevel="0" collapsed="false">
      <c r="A24" s="9" t="n">
        <v>20</v>
      </c>
      <c r="B24" s="9" t="s">
        <v>157</v>
      </c>
      <c r="C24" s="6" t="n">
        <v>46295</v>
      </c>
      <c r="D24" s="8" t="s">
        <v>166</v>
      </c>
      <c r="E24" s="8" t="s">
        <v>167</v>
      </c>
      <c r="F24" s="9" t="s">
        <v>24</v>
      </c>
      <c r="G24" s="9" t="s">
        <v>73</v>
      </c>
      <c r="H24" s="9" t="s">
        <v>168</v>
      </c>
      <c r="I24" s="9" t="n">
        <v>3.9</v>
      </c>
      <c r="J24" s="9" t="s">
        <v>169</v>
      </c>
      <c r="K24" s="9" t="s">
        <v>28</v>
      </c>
      <c r="L24" s="9" t="s">
        <v>170</v>
      </c>
      <c r="M24" s="10" t="s">
        <v>171</v>
      </c>
      <c r="N24" s="8" t="s">
        <v>165</v>
      </c>
      <c r="O24" s="11"/>
      <c r="P24" s="11"/>
      <c r="Q24" s="12"/>
      <c r="R24" s="12" t="str">
        <f aca="false">IF(Q24="","",Q24+7)</f>
        <v/>
      </c>
      <c r="S24" s="11"/>
      <c r="T24" s="11"/>
    </row>
    <row r="26" customFormat="false" ht="16.15" hidden="false" customHeight="false" outlineLevel="0" collapsed="false">
      <c r="A26" s="13" t="s">
        <v>172</v>
      </c>
    </row>
    <row r="27" customFormat="false" ht="15" hidden="false" customHeight="false" outlineLevel="0" collapsed="false">
      <c r="D27" s="14" t="s">
        <v>173</v>
      </c>
      <c r="E27" s="14" t="s">
        <v>174</v>
      </c>
      <c r="F27" s="14" t="s">
        <v>175</v>
      </c>
    </row>
    <row r="28" customFormat="false" ht="15" hidden="false" customHeight="false" outlineLevel="0" collapsed="false">
      <c r="D28" s="15" t="s">
        <v>176</v>
      </c>
      <c r="E28" s="14" t="n">
        <f aca="false">COUNTA(P5:P24)</f>
        <v>0</v>
      </c>
      <c r="F28" s="15" t="n">
        <v>20</v>
      </c>
    </row>
    <row r="29" customFormat="false" ht="15" hidden="false" customHeight="false" outlineLevel="0" collapsed="false">
      <c r="D29" s="15" t="s">
        <v>177</v>
      </c>
      <c r="E29" s="14" t="n">
        <f aca="false">COUNT(Q5:Q24)</f>
        <v>0</v>
      </c>
      <c r="F29" s="15" t="n">
        <v>20</v>
      </c>
    </row>
    <row r="30" customFormat="false" ht="15" hidden="false" customHeight="false" outlineLevel="0" collapsed="false">
      <c r="D30" s="15" t="s">
        <v>178</v>
      </c>
      <c r="E30" s="14" t="n">
        <f aca="false">COUNTIF(P5:P24,"Meeting booked")</f>
        <v>0</v>
      </c>
      <c r="F30" s="15" t="n">
        <v>3</v>
      </c>
    </row>
    <row r="31" customFormat="false" ht="15" hidden="false" customHeight="false" outlineLevel="0" collapsed="false">
      <c r="D31" s="15" t="s">
        <v>179</v>
      </c>
      <c r="E31" s="14" t="n">
        <f aca="false">COUNTIF(P5:P24,"Has a vacancy")</f>
        <v>0</v>
      </c>
      <c r="F31" s="15" t="n">
        <v>1</v>
      </c>
    </row>
  </sheetData>
  <autoFilter ref="A4:T24"/>
  <dataValidations count="2">
    <dataValidation allowBlank="true" errorStyle="stop" operator="between" showDropDown="false" showErrorMessage="false" showInputMessage="false" sqref="O5:O24" type="list">
      <formula1>"Yes: not on CTPS,On CTPS: email only"</formula1>
      <formula2>0</formula2>
    </dataValidation>
    <dataValidation allowBlank="true" errorStyle="stop" operator="between" showDropDown="false" showErrorMessage="false" showInputMessage="false" sqref="P5:P24" type="list">
      <formula1>"No answer,Left message,Spoke: send info,Meeting booked,Has a vacancy,Not now: call in 60 days,Not interested,Do not contact"</formula1>
      <formula2>0</formula2>
    </dataValidation>
  </dataValidations>
  <hyperlinks>
    <hyperlink ref="M5" r:id="rId1" display="https://www.cqc.org.uk/location/1-3078396649"/>
    <hyperlink ref="M6" r:id="rId2" display="https://www.cqc.org.uk/location/1-14144735535"/>
    <hyperlink ref="M7" r:id="rId3" display="https://www.cqc.org.uk/location/1-27376556091"/>
    <hyperlink ref="M8" r:id="rId4" display="https://www.cqc.org.uk/location/1-11296003795"/>
    <hyperlink ref="M9" r:id="rId5" display="https://www.cqc.org.uk/location/1-7654027864"/>
    <hyperlink ref="M10" r:id="rId6" display="https://www.cqc.org.uk/location/1-5600613464"/>
    <hyperlink ref="M11" r:id="rId7" display="https://www.cqc.org.uk/location/1-140506240"/>
    <hyperlink ref="M12" r:id="rId8" display="https://www.cqc.org.uk/location/1-10556813199"/>
    <hyperlink ref="M13" r:id="rId9" display="https://www.cqc.org.uk/location/1-13366549077"/>
    <hyperlink ref="M14" r:id="rId10" display="https://www.cqc.org.uk/location/1-2027978636"/>
    <hyperlink ref="M15" r:id="rId11" display="https://www.cqc.org.uk/location/1-110197479"/>
    <hyperlink ref="M16" r:id="rId12" display="https://www.cqc.org.uk/location/1-9405286125"/>
    <hyperlink ref="M17" r:id="rId13" display="https://www.cqc.org.uk/location/1-21533595136"/>
    <hyperlink ref="M18" r:id="rId14" display="https://www.cqc.org.uk/location/1-126032248"/>
    <hyperlink ref="M19" r:id="rId15" display="https://www.cqc.org.uk/location/1-114664194"/>
    <hyperlink ref="M20" r:id="rId16" display="https://www.cqc.org.uk/location/1-636523352"/>
    <hyperlink ref="M21" r:id="rId17" display="https://www.cqc.org.uk/location/1-115959002"/>
    <hyperlink ref="M22" r:id="rId18" display="https://www.cqc.org.uk/location/1-142433590"/>
    <hyperlink ref="M23" r:id="rId19" display="https://www.cqc.org.uk/location/1-433554121"/>
    <hyperlink ref="M24" r:id="rId20" display="https://www.cqc.org.uk/location/1-43763782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6" t="s">
        <v>180</v>
      </c>
      <c r="B1" s="16" t="s">
        <v>181</v>
      </c>
      <c r="C1" s="16" t="s">
        <v>182</v>
      </c>
    </row>
    <row r="2" customFormat="false" ht="26.85" hidden="false" customHeight="false" outlineLevel="0" collapsed="false">
      <c r="A2" s="17" t="s">
        <v>183</v>
      </c>
      <c r="B2" s="17" t="s">
        <v>184</v>
      </c>
      <c r="C2" s="17" t="s">
        <v>185</v>
      </c>
    </row>
    <row r="3" customFormat="false" ht="15" hidden="false" customHeight="false" outlineLevel="0" collapsed="false">
      <c r="A3" s="17" t="s">
        <v>186</v>
      </c>
      <c r="B3" s="17" t="s">
        <v>187</v>
      </c>
      <c r="C3" s="17" t="s">
        <v>188</v>
      </c>
    </row>
    <row r="4" customFormat="false" ht="15" hidden="false" customHeight="false" outlineLevel="0" collapsed="false">
      <c r="A4" s="17" t="s">
        <v>189</v>
      </c>
      <c r="B4" s="17" t="s">
        <v>190</v>
      </c>
      <c r="C4" s="17" t="s">
        <v>188</v>
      </c>
    </row>
    <row r="5" customFormat="false" ht="26.85" hidden="false" customHeight="false" outlineLevel="0" collapsed="false">
      <c r="A5" s="17" t="s">
        <v>191</v>
      </c>
      <c r="B5" s="17" t="s">
        <v>192</v>
      </c>
      <c r="C5" s="17" t="s">
        <v>193</v>
      </c>
    </row>
    <row r="6" customFormat="false" ht="15" hidden="false" customHeight="false" outlineLevel="0" collapsed="false">
      <c r="A6" s="17" t="s">
        <v>194</v>
      </c>
      <c r="B6" s="17" t="s">
        <v>195</v>
      </c>
      <c r="C6" s="17" t="s">
        <v>196</v>
      </c>
    </row>
    <row r="7" customFormat="false" ht="15" hidden="false" customHeight="false" outlineLevel="0" collapsed="false">
      <c r="A7" s="17" t="s">
        <v>197</v>
      </c>
      <c r="B7" s="17" t="s">
        <v>198</v>
      </c>
      <c r="C7" s="17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2026-09-25T09:19:31Z</dcterms:created>
  <dc:creator>openpyxl</dc:creator>
  <dc:description/>
  <dc:language>en-US</dc:language>
  <cp:lastModifiedBy/>
  <dcterms:modified xsi:type="dcterms:W3CDTF">2026-09-25T09:19:31Z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