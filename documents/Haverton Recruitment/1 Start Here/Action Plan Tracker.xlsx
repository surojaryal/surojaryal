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Plan" sheetId="1" state="visible" r:id="rId3"/>
    <sheet name="Weekly Rout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<sst xmlns="http://schemas.openxmlformats.org/spreadsheetml/2006/main" count="217" uniqueCount="116">
  <si>
    <t xml:space="preserve">Haverton Recruitment Action Plan</t>
  </si>
  <si>
    <t xml:space="preserve">Yellow cell: enter your start date. Blue cells: update status, done date and evidence. Due dates and overdue flags calculate automatically.</t>
  </si>
  <si>
    <t xml:space="preserve">Start date (day 1)</t>
  </si>
  <si>
    <t xml:space="preserve">Done</t>
  </si>
  <si>
    <t xml:space="preserve">Overdue</t>
  </si>
  <si>
    <t xml:space="preserve">Day</t>
  </si>
  <si>
    <t xml:space="preserve">Phase</t>
  </si>
  <si>
    <t xml:space="preserve">Action</t>
  </si>
  <si>
    <t xml:space="preserve">Deliverable</t>
  </si>
  <si>
    <t xml:space="preserve">Owner</t>
  </si>
  <si>
    <t xml:space="preserve">Due date</t>
  </si>
  <si>
    <t xml:space="preserve">Status</t>
  </si>
  <si>
    <t xml:space="preserve">Done date</t>
  </si>
  <si>
    <t xml:space="preserve">Flag</t>
  </si>
  <si>
    <t xml:space="preserve">Evidence kept where</t>
  </si>
  <si>
    <t xml:space="preserve">Week 1: Foundations</t>
  </si>
  <si>
    <t xml:space="preserve">Confirm niche, roles and service area</t>
  </si>
  <si>
    <t xml:space="preserve">Written service model</t>
  </si>
  <si>
    <t xml:space="preserve">Suroj Aryal</t>
  </si>
  <si>
    <t xml:space="preserve">Not started</t>
  </si>
  <si>
    <t xml:space="preserve">Confirm permanent first, temporary readiness in parallel</t>
  </si>
  <si>
    <t xml:space="preserve">Business plan agreed</t>
  </si>
  <si>
    <t xml:space="preserve">Add SIC code 78109 to the Companies House action list</t>
  </si>
  <si>
    <t xml:space="preserve">Note for next confirmation statement</t>
  </si>
  <si>
    <t xml:space="preserve">Open or confirm the business bank account for recruitment income</t>
  </si>
  <si>
    <t xml:space="preserve">Account details for invoices</t>
  </si>
  <si>
    <t xml:space="preserve">Choose an accountant and a payroll provider with recruitment experience</t>
  </si>
  <si>
    <t xml:space="preserve">Payroll proposal</t>
  </si>
  <si>
    <t xml:space="preserve">Get 2 to 3 insurance quotes using the Insurance Broker Brief</t>
  </si>
  <si>
    <t xml:space="preserve">Insurance comparison</t>
  </si>
  <si>
    <t xml:space="preserve">Buy professional indemnity insurance (employers’ liability before any temporary worker)</t>
  </si>
  <si>
    <t xml:space="preserve">Insurance certificates</t>
  </si>
  <si>
    <t xml:space="preserve">Confirm ICO fee is paid and publish the Recruitment Privacy Notice</t>
  </si>
  <si>
    <t xml:space="preserve">ICO number; notice on website</t>
  </si>
  <si>
    <t xml:space="preserve">Accept the Supabase data processing agreement; set own password; delete the setup token</t>
  </si>
  <si>
    <t xml:space="preserve">Screenshot or note of acceptance</t>
  </si>
  <si>
    <t xml:space="preserve">Publish a Recruitment page on the website, separate from home care</t>
  </si>
  <si>
    <t xml:space="preserve">Live page</t>
  </si>
  <si>
    <t xml:space="preserve">Week 2: Legal And Compliance</t>
  </si>
  <si>
    <t xml:space="preserve">Solicitor review: Client Terms Of Business (permanent)</t>
  </si>
  <si>
    <t xml:space="preserve">Signed-off terms</t>
  </si>
  <si>
    <t xml:space="preserve">Solicitor review: Client Terms For Temporary Supply</t>
  </si>
  <si>
    <t xml:space="preserve">Signed-off draft (not in use yet)</t>
  </si>
  <si>
    <t xml:space="preserve">Solicitor review: Candidate Terms, Temporary Worker Terms and Key Information Document</t>
  </si>
  <si>
    <t xml:space="preserve">Signed-off candidate pack</t>
  </si>
  <si>
    <t xml:space="preserve">Adopt the Candidate File Checklist and set up restricted folders</t>
  </si>
  <si>
    <t xml:space="preserve">Folder structure</t>
  </si>
  <si>
    <t xml:space="preserve">Register with a DBS umbrella body</t>
  </si>
  <si>
    <t xml:space="preserve">Account confirmed</t>
  </si>
  <si>
    <t xml:space="preserve">Start using the Interview Scoring Sheet for every interview</t>
  </si>
  <si>
    <t xml:space="preserve">First completed sheets</t>
  </si>
  <si>
    <t xml:space="preserve">Confirm safeguarding, complaints and whistleblowing procedure (SOP 17)</t>
  </si>
  <si>
    <t xml:space="preserve">Procedure read and dated</t>
  </si>
  <si>
    <t xml:space="preserve">Week 3: Market</t>
  </si>
  <si>
    <t xml:space="preserve">Enter 150 local care providers in the Clients register</t>
  </si>
  <si>
    <t xml:space="preserve">150 client records</t>
  </si>
  <si>
    <t xml:space="preserve">Map decision-makers: owners, HR leads, Registered Managers</t>
  </si>
  <si>
    <t xml:space="preserve">Contacts recorded</t>
  </si>
  <si>
    <t xml:space="preserve">Create LinkedIn company page and update founder profile</t>
  </si>
  <si>
    <t xml:space="preserve">Live pages</t>
  </si>
  <si>
    <t xml:space="preserve">Start candidate sourcing: aim for 100 conversations this month</t>
  </si>
  <si>
    <t xml:space="preserve">Candidates registered</t>
  </si>
  <si>
    <t xml:space="preserve">Screen the first 20 candidates with consent records</t>
  </si>
  <si>
    <t xml:space="preserve">20 screened candidates</t>
  </si>
  <si>
    <t xml:space="preserve">Client calling campaign: 30 conversations</t>
  </si>
  <si>
    <t xml:space="preserve">Activity logged</t>
  </si>
  <si>
    <t xml:space="preserve">Send tailored introduction emails</t>
  </si>
  <si>
    <t xml:space="preserve">Emails logged</t>
  </si>
  <si>
    <t xml:space="preserve">Book 5 discovery meetings</t>
  </si>
  <si>
    <t xml:space="preserve">Meetings in diary</t>
  </si>
  <si>
    <t xml:space="preserve">Week 4: First Business</t>
  </si>
  <si>
    <t xml:space="preserve">Win the first live permanent vacancy with signed terms</t>
  </si>
  <si>
    <t xml:space="preserve">Signed terms and Vacancy Brief</t>
  </si>
  <si>
    <t xml:space="preserve">Check temporary rates for each role in the Pricing Calculators</t>
  </si>
  <si>
    <t xml:space="preserve">Rate card (not in use yet)</t>
  </si>
  <si>
    <t xml:space="preserve">Credit-check possible temporary clients (no supply yet)</t>
  </si>
  <si>
    <t xml:space="preserve">Approved client list and limits</t>
  </si>
  <si>
    <t xml:space="preserve">Audit documents and systems; record it in the Audits register</t>
  </si>
  <si>
    <t xml:space="preserve">Audit record</t>
  </si>
  <si>
    <t xml:space="preserve">Review the pipeline and set the 90-day plan</t>
  </si>
  <si>
    <t xml:space="preserve">Monthly report</t>
  </si>
  <si>
    <t xml:space="preserve">Temporary Staffing Readiness</t>
  </si>
  <si>
    <t xml:space="preserve">Payroll provider set up; PAYE, pension and holiday pay tested</t>
  </si>
  <si>
    <t xml:space="preserve">Test payroll run</t>
  </si>
  <si>
    <t xml:space="preserve">Employers’ liability (at least £5 million) and temporary staffing cover in place</t>
  </si>
  <si>
    <t xml:space="preserve">Certificates</t>
  </si>
  <si>
    <t xml:space="preserve">13-week cash-flow forecast and funding (for example invoice finance) agreed</t>
  </si>
  <si>
    <t xml:space="preserve">Forecast and facility letter</t>
  </si>
  <si>
    <t xml:space="preserve">Credit limits, weekly invoicing, 7-day terms and stop-supply rule agreed</t>
  </si>
  <si>
    <t xml:space="preserve">Client credit file</t>
  </si>
  <si>
    <t xml:space="preserve">Director signs every item in the Temp Go Live Gate</t>
  </si>
  <si>
    <t xml:space="preserve">Gate showing GO</t>
  </si>
  <si>
    <t xml:space="preserve">Pilot with 1 to 2 trusted clients, then audit after the first payroll</t>
  </si>
  <si>
    <t xml:space="preserve">Pilot audit</t>
  </si>
  <si>
    <t xml:space="preserve">Weekly routine</t>
  </si>
  <si>
    <t xml:space="preserve">Enter the number achieved each week. Targets from the founder launch rhythm.</t>
  </si>
  <si>
    <t xml:space="preserve">Activity</t>
  </si>
  <si>
    <t xml:space="preserve">Weekly target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</si>
  <si>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</si>
  <si>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</si>
  <si>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</si>
  <si>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</si>
  <si>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</si>
  <si>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</si>
  <si>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</si>
  <si>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</si>
  <si>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</si>
  <si>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</si>
  <si>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</si>
  <si>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</si>
  <si>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Research target providers</t>
  </si>
  <si>
    <t xml:space="preserve">Tailored first emails</t>
  </si>
  <si>
    <t xml:space="preserve">Follow-up calls</t>
  </si>
  <si>
    <t xml:space="preserve">Discovery meetings</t>
  </si>
  <si>
    <t xml:space="preserve">Candidate screening conversations</t>
  </si>
  <si>
    <t xml:space="preserve">Consented submissions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</si>
</sst>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B4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B2B45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EFE6"/>
        <bgColor rgb="FFFDF1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3F4EA"/>
        </patternFill>
      </fill>
    </dxf>
    <dxf>
      <fill>
        <patternFill>
          <bgColor rgb="FFFBE6E4"/>
        </patternFill>
      </fill>
    </dxf>
    <dxf>
      <fill>
        <patternFill>
          <bgColor rgb="FFFDF1D8"/>
        </patternFill>
      </fill>
    </dxf>
  </dxfs>
  <colors>
    <indexedColors>
      <rgbColor rgb="FF000000"/>
      <rgbColor rgb="FFF3EF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DF1D8"/>
      <rgbColor rgb="FFE3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6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1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f aca="true">TODAY()</f>
        <v>46289</v>
      </c>
      <c r="E3" s="3" t="s">
        <v>3</v>
      </c>
      <c r="F3" s="0" t="str">
        <f aca="false">COUNTIF(G6:G200,"Done")&amp;" of "&amp;(COUNTA(C6:C200)-COUNTIF(G6:G200,"Not needed"))</f>
        <v>0 of 36</v>
      </c>
    </row>
    <row r="4" customFormat="false" ht="15" hidden="false" customHeight="false" outlineLevel="0" collapsed="false">
      <c r="E4" s="3" t="s">
        <v>4</v>
      </c>
      <c r="F4" s="5" t="n">
        <f aca="false">COUNTIF(I6:I200,"Overdue")</f>
        <v>0</v>
      </c>
    </row>
    <row r="5" customFormat="false" ht="1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</row>
    <row r="6" customFormat="false" ht="15" hidden="false" customHeight="false" outlineLevel="0" collapsed="false">
      <c r="A6" s="7" t="n">
        <v>1</v>
      </c>
      <c r="B6" s="7" t="s">
        <v>15</v>
      </c>
      <c r="C6" s="7" t="s">
        <v>16</v>
      </c>
      <c r="D6" s="7" t="s">
        <v>17</v>
      </c>
      <c r="E6" s="8" t="s">
        <v>18</v>
      </c>
      <c r="F6" s="9" t="n">
        <f aca="false">$C$3+A6-1</f>
        <v>46289</v>
      </c>
      <c r="G6" s="8" t="s">
        <v>19</v>
      </c>
      <c r="H6" s="10"/>
      <c r="I6" s="7" t="str">
        <f aca="true">IF(OR(G6="Done",G6="Not needed"),"",IF(F6&lt;TODAY(),"Overdue",IF(F6&lt;=TODAY()+7,"Due soon","")))</f>
        <v>Due soon</v>
      </c>
      <c r="J6" s="8"/>
    </row>
    <row r="7" customFormat="false" ht="15" hidden="false" customHeight="false" outlineLevel="0" collapsed="false">
      <c r="A7" s="7" t="n">
        <v>2</v>
      </c>
      <c r="B7" s="7" t="s">
        <v>15</v>
      </c>
      <c r="C7" s="7" t="s">
        <v>20</v>
      </c>
      <c r="D7" s="7" t="s">
        <v>21</v>
      </c>
      <c r="E7" s="8" t="s">
        <v>18</v>
      </c>
      <c r="F7" s="9" t="n">
        <f aca="false">$C$3+A7-1</f>
        <v>46290</v>
      </c>
      <c r="G7" s="8" t="s">
        <v>19</v>
      </c>
      <c r="H7" s="10"/>
      <c r="I7" s="7" t="str">
        <f aca="true">IF(OR(G7="Done",G7="Not needed"),"",IF(F7&lt;TODAY(),"Overdue",IF(F7&lt;=TODAY()+7,"Due soon","")))</f>
        <v>Due soon</v>
      </c>
      <c r="J7" s="8"/>
    </row>
    <row r="8" customFormat="false" ht="28.35" hidden="false" customHeight="false" outlineLevel="0" collapsed="false">
      <c r="A8" s="7" t="n">
        <v>3</v>
      </c>
      <c r="B8" s="7" t="s">
        <v>15</v>
      </c>
      <c r="C8" s="7" t="s">
        <v>22</v>
      </c>
      <c r="D8" s="7" t="s">
        <v>23</v>
      </c>
      <c r="E8" s="8" t="s">
        <v>18</v>
      </c>
      <c r="F8" s="9" t="n">
        <f aca="false">$C$3+A8-1</f>
        <v>46291</v>
      </c>
      <c r="G8" s="8" t="s">
        <v>19</v>
      </c>
      <c r="H8" s="10"/>
      <c r="I8" s="7" t="str">
        <f aca="true">IF(OR(G8="Done",G8="Not needed"),"",IF(F8&lt;TODAY(),"Overdue",IF(F8&lt;=TODAY()+7,"Due soon","")))</f>
        <v>Due soon</v>
      </c>
      <c r="J8" s="8"/>
    </row>
    <row r="9" customFormat="false" ht="28.35" hidden="false" customHeight="false" outlineLevel="0" collapsed="false">
      <c r="A9" s="7" t="n">
        <v>4</v>
      </c>
      <c r="B9" s="7" t="s">
        <v>15</v>
      </c>
      <c r="C9" s="7" t="s">
        <v>24</v>
      </c>
      <c r="D9" s="7" t="s">
        <v>25</v>
      </c>
      <c r="E9" s="8" t="s">
        <v>18</v>
      </c>
      <c r="F9" s="9" t="n">
        <f aca="false">$C$3+A9-1</f>
        <v>46292</v>
      </c>
      <c r="G9" s="8" t="s">
        <v>19</v>
      </c>
      <c r="H9" s="10"/>
      <c r="I9" s="7" t="str">
        <f aca="true">IF(OR(G9="Done",G9="Not needed"),"",IF(F9&lt;TODAY(),"Overdue",IF(F9&lt;=TODAY()+7,"Due soon","")))</f>
        <v>Due soon</v>
      </c>
      <c r="J9" s="8"/>
    </row>
    <row r="10" customFormat="false" ht="28.35" hidden="false" customHeight="false" outlineLevel="0" collapsed="false">
      <c r="A10" s="7" t="n">
        <v>5</v>
      </c>
      <c r="B10" s="7" t="s">
        <v>15</v>
      </c>
      <c r="C10" s="7" t="s">
        <v>26</v>
      </c>
      <c r="D10" s="7" t="s">
        <v>27</v>
      </c>
      <c r="E10" s="8" t="s">
        <v>18</v>
      </c>
      <c r="F10" s="9" t="n">
        <f aca="false">$C$3+A10-1</f>
        <v>46293</v>
      </c>
      <c r="G10" s="8" t="s">
        <v>19</v>
      </c>
      <c r="H10" s="10"/>
      <c r="I10" s="7" t="str">
        <f aca="true">IF(OR(G10="Done",G10="Not needed"),"",IF(F10&lt;TODAY(),"Overdue",IF(F10&lt;=TODAY()+7,"Due soon","")))</f>
        <v>Due soon</v>
      </c>
      <c r="J10" s="8"/>
    </row>
    <row r="11" customFormat="false" ht="15" hidden="false" customHeight="false" outlineLevel="0" collapsed="false">
      <c r="A11" s="7" t="n">
        <v>6</v>
      </c>
      <c r="B11" s="7" t="s">
        <v>15</v>
      </c>
      <c r="C11" s="7" t="s">
        <v>28</v>
      </c>
      <c r="D11" s="7" t="s">
        <v>29</v>
      </c>
      <c r="E11" s="8" t="s">
        <v>18</v>
      </c>
      <c r="F11" s="9" t="n">
        <f aca="false">$C$3+A11-1</f>
        <v>46294</v>
      </c>
      <c r="G11" s="8" t="s">
        <v>19</v>
      </c>
      <c r="H11" s="10"/>
      <c r="I11" s="7" t="str">
        <f aca="true">IF(OR(G11="Done",G11="Not needed"),"",IF(F11&lt;TODAY(),"Overdue",IF(F11&lt;=TODAY()+7,"Due soon","")))</f>
        <v>Due soon</v>
      </c>
      <c r="J11" s="8"/>
    </row>
    <row r="12" customFormat="false" ht="28.35" hidden="false" customHeight="false" outlineLevel="0" collapsed="false">
      <c r="A12" s="7" t="n">
        <v>7</v>
      </c>
      <c r="B12" s="7" t="s">
        <v>15</v>
      </c>
      <c r="C12" s="7" t="s">
        <v>30</v>
      </c>
      <c r="D12" s="7" t="s">
        <v>31</v>
      </c>
      <c r="E12" s="8" t="s">
        <v>18</v>
      </c>
      <c r="F12" s="9" t="n">
        <f aca="false">$C$3+A12-1</f>
        <v>46295</v>
      </c>
      <c r="G12" s="8" t="s">
        <v>19</v>
      </c>
      <c r="H12" s="10"/>
      <c r="I12" s="7" t="str">
        <f aca="true">IF(OR(G12="Done",G12="Not needed"),"",IF(F12&lt;TODAY(),"Overdue",IF(F12&lt;=TODAY()+7,"Due soon","")))</f>
        <v>Due soon</v>
      </c>
      <c r="J12" s="8"/>
    </row>
    <row r="13" customFormat="false" ht="28.35" hidden="false" customHeight="false" outlineLevel="0" collapsed="false">
      <c r="A13" s="7" t="n">
        <v>8</v>
      </c>
      <c r="B13" s="7" t="s">
        <v>15</v>
      </c>
      <c r="C13" s="7" t="s">
        <v>32</v>
      </c>
      <c r="D13" s="7" t="s">
        <v>33</v>
      </c>
      <c r="E13" s="8" t="s">
        <v>18</v>
      </c>
      <c r="F13" s="9" t="n">
        <f aca="false">$C$3+A13-1</f>
        <v>46296</v>
      </c>
      <c r="G13" s="8" t="s">
        <v>19</v>
      </c>
      <c r="H13" s="10"/>
      <c r="I13" s="7" t="str">
        <f aca="true">IF(OR(G13="Done",G13="Not needed"),"",IF(F13&lt;TODAY(),"Overdue",IF(F13&lt;=TODAY()+7,"Due soon","")))</f>
        <v>Due soon</v>
      </c>
      <c r="J13" s="8"/>
    </row>
    <row r="14" customFormat="false" ht="28.35" hidden="false" customHeight="false" outlineLevel="0" collapsed="false">
      <c r="A14" s="7" t="n">
        <v>9</v>
      </c>
      <c r="B14" s="7" t="s">
        <v>15</v>
      </c>
      <c r="C14" s="7" t="s">
        <v>34</v>
      </c>
      <c r="D14" s="7" t="s">
        <v>35</v>
      </c>
      <c r="E14" s="8" t="s">
        <v>18</v>
      </c>
      <c r="F14" s="9" t="n">
        <f aca="false">$C$3+A14-1</f>
        <v>46297</v>
      </c>
      <c r="G14" s="8" t="s">
        <v>19</v>
      </c>
      <c r="H14" s="10"/>
      <c r="I14" s="7" t="str">
        <f aca="true">IF(OR(G14="Done",G14="Not needed"),"",IF(F14&lt;TODAY(),"Overdue",IF(F14&lt;=TODAY()+7,"Due soon","")))</f>
        <v/>
      </c>
      <c r="J14" s="8"/>
    </row>
    <row r="15" customFormat="false" ht="28.35" hidden="false" customHeight="false" outlineLevel="0" collapsed="false">
      <c r="A15" s="7" t="n">
        <v>10</v>
      </c>
      <c r="B15" s="7" t="s">
        <v>15</v>
      </c>
      <c r="C15" s="7" t="s">
        <v>36</v>
      </c>
      <c r="D15" s="7" t="s">
        <v>37</v>
      </c>
      <c r="E15" s="8" t="s">
        <v>18</v>
      </c>
      <c r="F15" s="9" t="n">
        <f aca="false">$C$3+A15-1</f>
        <v>46298</v>
      </c>
      <c r="G15" s="8" t="s">
        <v>19</v>
      </c>
      <c r="H15" s="10"/>
      <c r="I15" s="7" t="str">
        <f aca="true">IF(OR(G15="Done",G15="Not needed"),"",IF(F15&lt;TODAY(),"Overdue",IF(F15&lt;=TODAY()+7,"Due soon","")))</f>
        <v/>
      </c>
      <c r="J15" s="8"/>
    </row>
    <row r="16" customFormat="false" ht="28.35" hidden="false" customHeight="false" outlineLevel="0" collapsed="false">
      <c r="A16" s="7" t="n">
        <v>11</v>
      </c>
      <c r="B16" s="7" t="s">
        <v>38</v>
      </c>
      <c r="C16" s="7" t="s">
        <v>39</v>
      </c>
      <c r="D16" s="7" t="s">
        <v>40</v>
      </c>
      <c r="E16" s="8" t="s">
        <v>18</v>
      </c>
      <c r="F16" s="9" t="n">
        <f aca="false">$C$3+A16-1</f>
        <v>46299</v>
      </c>
      <c r="G16" s="8" t="s">
        <v>19</v>
      </c>
      <c r="H16" s="10"/>
      <c r="I16" s="7" t="str">
        <f aca="true">IF(OR(G16="Done",G16="Not needed"),"",IF(F16&lt;TODAY(),"Overdue",IF(F16&lt;=TODAY()+7,"Due soon","")))</f>
        <v/>
      </c>
      <c r="J16" s="8"/>
    </row>
    <row r="17" customFormat="false" ht="28.35" hidden="false" customHeight="false" outlineLevel="0" collapsed="false">
      <c r="A17" s="7" t="n">
        <v>12</v>
      </c>
      <c r="B17" s="7" t="s">
        <v>38</v>
      </c>
      <c r="C17" s="7" t="s">
        <v>41</v>
      </c>
      <c r="D17" s="7" t="s">
        <v>42</v>
      </c>
      <c r="E17" s="8" t="s">
        <v>18</v>
      </c>
      <c r="F17" s="9" t="n">
        <f aca="false">$C$3+A17-1</f>
        <v>46300</v>
      </c>
      <c r="G17" s="8" t="s">
        <v>19</v>
      </c>
      <c r="H17" s="10"/>
      <c r="I17" s="7" t="str">
        <f aca="true">IF(OR(G17="Done",G17="Not needed"),"",IF(F17&lt;TODAY(),"Overdue",IF(F17&lt;=TODAY()+7,"Due soon","")))</f>
        <v/>
      </c>
      <c r="J17" s="8"/>
    </row>
    <row r="18" customFormat="false" ht="28.35" hidden="false" customHeight="false" outlineLevel="0" collapsed="false">
      <c r="A18" s="7" t="n">
        <v>13</v>
      </c>
      <c r="B18" s="7" t="s">
        <v>38</v>
      </c>
      <c r="C18" s="7" t="s">
        <v>43</v>
      </c>
      <c r="D18" s="7" t="s">
        <v>44</v>
      </c>
      <c r="E18" s="8" t="s">
        <v>18</v>
      </c>
      <c r="F18" s="9" t="n">
        <f aca="false">$C$3+A18-1</f>
        <v>46301</v>
      </c>
      <c r="G18" s="8" t="s">
        <v>19</v>
      </c>
      <c r="H18" s="10"/>
      <c r="I18" s="7" t="str">
        <f aca="true">IF(OR(G18="Done",G18="Not needed"),"",IF(F18&lt;TODAY(),"Overdue",IF(F18&lt;=TODAY()+7,"Due soon","")))</f>
        <v/>
      </c>
      <c r="J18" s="8"/>
    </row>
    <row r="19" customFormat="false" ht="28.35" hidden="false" customHeight="false" outlineLevel="0" collapsed="false">
      <c r="A19" s="7" t="n">
        <v>14</v>
      </c>
      <c r="B19" s="7" t="s">
        <v>38</v>
      </c>
      <c r="C19" s="7" t="s">
        <v>45</v>
      </c>
      <c r="D19" s="7" t="s">
        <v>46</v>
      </c>
      <c r="E19" s="8" t="s">
        <v>18</v>
      </c>
      <c r="F19" s="9" t="n">
        <f aca="false">$C$3+A19-1</f>
        <v>46302</v>
      </c>
      <c r="G19" s="8" t="s">
        <v>19</v>
      </c>
      <c r="H19" s="10"/>
      <c r="I19" s="7" t="str">
        <f aca="true">IF(OR(G19="Done",G19="Not needed"),"",IF(F19&lt;TODAY(),"Overdue",IF(F19&lt;=TODAY()+7,"Due soon","")))</f>
        <v/>
      </c>
      <c r="J19" s="8"/>
    </row>
    <row r="20" customFormat="false" ht="28.35" hidden="false" customHeight="false" outlineLevel="0" collapsed="false">
      <c r="A20" s="7" t="n">
        <v>15</v>
      </c>
      <c r="B20" s="7" t="s">
        <v>38</v>
      </c>
      <c r="C20" s="7" t="s">
        <v>47</v>
      </c>
      <c r="D20" s="7" t="s">
        <v>48</v>
      </c>
      <c r="E20" s="8" t="s">
        <v>18</v>
      </c>
      <c r="F20" s="9" t="n">
        <f aca="false">$C$3+A20-1</f>
        <v>46303</v>
      </c>
      <c r="G20" s="8" t="s">
        <v>19</v>
      </c>
      <c r="H20" s="10"/>
      <c r="I20" s="7" t="str">
        <f aca="true">IF(OR(G20="Done",G20="Not needed"),"",IF(F20&lt;TODAY(),"Overdue",IF(F20&lt;=TODAY()+7,"Due soon","")))</f>
        <v/>
      </c>
      <c r="J20" s="8"/>
    </row>
    <row r="21" customFormat="false" ht="28.35" hidden="false" customHeight="false" outlineLevel="0" collapsed="false">
      <c r="A21" s="7" t="n">
        <v>16</v>
      </c>
      <c r="B21" s="7" t="s">
        <v>38</v>
      </c>
      <c r="C21" s="7" t="s">
        <v>49</v>
      </c>
      <c r="D21" s="7" t="s">
        <v>50</v>
      </c>
      <c r="E21" s="8" t="s">
        <v>18</v>
      </c>
      <c r="F21" s="9" t="n">
        <f aca="false">$C$3+A21-1</f>
        <v>46304</v>
      </c>
      <c r="G21" s="8" t="s">
        <v>19</v>
      </c>
      <c r="H21" s="10"/>
      <c r="I21" s="7" t="str">
        <f aca="true">IF(OR(G21="Done",G21="Not needed"),"",IF(F21&lt;TODAY(),"Overdue",IF(F21&lt;=TODAY()+7,"Due soon","")))</f>
        <v/>
      </c>
      <c r="J21" s="8"/>
    </row>
    <row r="22" customFormat="false" ht="28.35" hidden="false" customHeight="false" outlineLevel="0" collapsed="false">
      <c r="A22" s="7" t="n">
        <v>17</v>
      </c>
      <c r="B22" s="7" t="s">
        <v>38</v>
      </c>
      <c r="C22" s="7" t="s">
        <v>51</v>
      </c>
      <c r="D22" s="7" t="s">
        <v>52</v>
      </c>
      <c r="E22" s="8" t="s">
        <v>18</v>
      </c>
      <c r="F22" s="9" t="n">
        <f aca="false">$C$3+A22-1</f>
        <v>46305</v>
      </c>
      <c r="G22" s="8" t="s">
        <v>19</v>
      </c>
      <c r="H22" s="10"/>
      <c r="I22" s="7" t="str">
        <f aca="true">IF(OR(G22="Done",G22="Not needed"),"",IF(F22&lt;TODAY(),"Overdue",IF(F22&lt;=TODAY()+7,"Due soon","")))</f>
        <v/>
      </c>
      <c r="J22" s="8"/>
    </row>
    <row r="23" customFormat="false" ht="15" hidden="false" customHeight="false" outlineLevel="0" collapsed="false">
      <c r="A23" s="7" t="n">
        <v>18</v>
      </c>
      <c r="B23" s="7" t="s">
        <v>53</v>
      </c>
      <c r="C23" s="7" t="s">
        <v>54</v>
      </c>
      <c r="D23" s="7" t="s">
        <v>55</v>
      </c>
      <c r="E23" s="8" t="s">
        <v>18</v>
      </c>
      <c r="F23" s="9" t="n">
        <f aca="false">$C$3+A23-1</f>
        <v>46306</v>
      </c>
      <c r="G23" s="8" t="s">
        <v>19</v>
      </c>
      <c r="H23" s="10"/>
      <c r="I23" s="7" t="str">
        <f aca="true">IF(OR(G23="Done",G23="Not needed"),"",IF(F23&lt;TODAY(),"Overdue",IF(F23&lt;=TODAY()+7,"Due soon","")))</f>
        <v/>
      </c>
      <c r="J23" s="8"/>
    </row>
    <row r="24" customFormat="false" ht="28.35" hidden="false" customHeight="false" outlineLevel="0" collapsed="false">
      <c r="A24" s="7" t="n">
        <v>19</v>
      </c>
      <c r="B24" s="7" t="s">
        <v>53</v>
      </c>
      <c r="C24" s="7" t="s">
        <v>56</v>
      </c>
      <c r="D24" s="7" t="s">
        <v>57</v>
      </c>
      <c r="E24" s="8" t="s">
        <v>18</v>
      </c>
      <c r="F24" s="9" t="n">
        <f aca="false">$C$3+A24-1</f>
        <v>46307</v>
      </c>
      <c r="G24" s="8" t="s">
        <v>19</v>
      </c>
      <c r="H24" s="10"/>
      <c r="I24" s="7" t="str">
        <f aca="true">IF(OR(G24="Done",G24="Not needed"),"",IF(F24&lt;TODAY(),"Overdue",IF(F24&lt;=TODAY()+7,"Due soon","")))</f>
        <v/>
      </c>
      <c r="J24" s="8"/>
    </row>
    <row r="25" customFormat="false" ht="15" hidden="false" customHeight="false" outlineLevel="0" collapsed="false">
      <c r="A25" s="7" t="n">
        <v>20</v>
      </c>
      <c r="B25" s="7" t="s">
        <v>53</v>
      </c>
      <c r="C25" s="7" t="s">
        <v>58</v>
      </c>
      <c r="D25" s="7" t="s">
        <v>59</v>
      </c>
      <c r="E25" s="8" t="s">
        <v>18</v>
      </c>
      <c r="F25" s="9" t="n">
        <f aca="false">$C$3+A25-1</f>
        <v>46308</v>
      </c>
      <c r="G25" s="8" t="s">
        <v>19</v>
      </c>
      <c r="H25" s="10"/>
      <c r="I25" s="7" t="str">
        <f aca="true">IF(OR(G25="Done",G25="Not needed"),"",IF(F25&lt;TODAY(),"Overdue",IF(F25&lt;=TODAY()+7,"Due soon","")))</f>
        <v/>
      </c>
      <c r="J25" s="8"/>
    </row>
    <row r="26" customFormat="false" ht="28.35" hidden="false" customHeight="false" outlineLevel="0" collapsed="false">
      <c r="A26" s="7" t="n">
        <v>21</v>
      </c>
      <c r="B26" s="7" t="s">
        <v>53</v>
      </c>
      <c r="C26" s="7" t="s">
        <v>60</v>
      </c>
      <c r="D26" s="7" t="s">
        <v>61</v>
      </c>
      <c r="E26" s="8" t="s">
        <v>18</v>
      </c>
      <c r="F26" s="9" t="n">
        <f aca="false">$C$3+A26-1</f>
        <v>46309</v>
      </c>
      <c r="G26" s="8" t="s">
        <v>19</v>
      </c>
      <c r="H26" s="10"/>
      <c r="I26" s="7" t="str">
        <f aca="true">IF(OR(G26="Done",G26="Not needed"),"",IF(F26&lt;TODAY(),"Overdue",IF(F26&lt;=TODAY()+7,"Due soon","")))</f>
        <v/>
      </c>
      <c r="J26" s="8"/>
    </row>
    <row r="27" customFormat="false" ht="15" hidden="false" customHeight="false" outlineLevel="0" collapsed="false">
      <c r="A27" s="7" t="n">
        <v>22</v>
      </c>
      <c r="B27" s="7" t="s">
        <v>53</v>
      </c>
      <c r="C27" s="7" t="s">
        <v>62</v>
      </c>
      <c r="D27" s="7" t="s">
        <v>63</v>
      </c>
      <c r="E27" s="8" t="s">
        <v>18</v>
      </c>
      <c r="F27" s="9" t="n">
        <f aca="false">$C$3+A27-1</f>
        <v>46310</v>
      </c>
      <c r="G27" s="8" t="s">
        <v>19</v>
      </c>
      <c r="H27" s="10"/>
      <c r="I27" s="7" t="str">
        <f aca="true">IF(OR(G27="Done",G27="Not needed"),"",IF(F27&lt;TODAY(),"Overdue",IF(F27&lt;=TODAY()+7,"Due soon","")))</f>
        <v/>
      </c>
      <c r="J27" s="8"/>
    </row>
    <row r="28" customFormat="false" ht="15" hidden="false" customHeight="false" outlineLevel="0" collapsed="false">
      <c r="A28" s="7" t="n">
        <v>23</v>
      </c>
      <c r="B28" s="7" t="s">
        <v>53</v>
      </c>
      <c r="C28" s="7" t="s">
        <v>64</v>
      </c>
      <c r="D28" s="7" t="s">
        <v>65</v>
      </c>
      <c r="E28" s="8" t="s">
        <v>18</v>
      </c>
      <c r="F28" s="9" t="n">
        <f aca="false">$C$3+A28-1</f>
        <v>46311</v>
      </c>
      <c r="G28" s="8" t="s">
        <v>19</v>
      </c>
      <c r="H28" s="10"/>
      <c r="I28" s="7" t="str">
        <f aca="true">IF(OR(G28="Done",G28="Not needed"),"",IF(F28&lt;TODAY(),"Overdue",IF(F28&lt;=TODAY()+7,"Due soon","")))</f>
        <v/>
      </c>
      <c r="J28" s="8"/>
    </row>
    <row r="29" customFormat="false" ht="15" hidden="false" customHeight="false" outlineLevel="0" collapsed="false">
      <c r="A29" s="7" t="n">
        <v>24</v>
      </c>
      <c r="B29" s="7" t="s">
        <v>53</v>
      </c>
      <c r="C29" s="7" t="s">
        <v>66</v>
      </c>
      <c r="D29" s="7" t="s">
        <v>67</v>
      </c>
      <c r="E29" s="8" t="s">
        <v>18</v>
      </c>
      <c r="F29" s="9" t="n">
        <f aca="false">$C$3+A29-1</f>
        <v>46312</v>
      </c>
      <c r="G29" s="8" t="s">
        <v>19</v>
      </c>
      <c r="H29" s="10"/>
      <c r="I29" s="7" t="str">
        <f aca="true">IF(OR(G29="Done",G29="Not needed"),"",IF(F29&lt;TODAY(),"Overdue",IF(F29&lt;=TODAY()+7,"Due soon","")))</f>
        <v/>
      </c>
      <c r="J29" s="8"/>
    </row>
    <row r="30" customFormat="false" ht="15" hidden="false" customHeight="false" outlineLevel="0" collapsed="false">
      <c r="A30" s="7" t="n">
        <v>25</v>
      </c>
      <c r="B30" s="7" t="s">
        <v>53</v>
      </c>
      <c r="C30" s="7" t="s">
        <v>68</v>
      </c>
      <c r="D30" s="7" t="s">
        <v>69</v>
      </c>
      <c r="E30" s="8" t="s">
        <v>18</v>
      </c>
      <c r="F30" s="9" t="n">
        <f aca="false">$C$3+A30-1</f>
        <v>46313</v>
      </c>
      <c r="G30" s="8" t="s">
        <v>19</v>
      </c>
      <c r="H30" s="10"/>
      <c r="I30" s="7" t="str">
        <f aca="true">IF(OR(G30="Done",G30="Not needed"),"",IF(F30&lt;TODAY(),"Overdue",IF(F30&lt;=TODAY()+7,"Due soon","")))</f>
        <v/>
      </c>
      <c r="J30" s="8"/>
    </row>
    <row r="31" customFormat="false" ht="15" hidden="false" customHeight="false" outlineLevel="0" collapsed="false">
      <c r="A31" s="7" t="n">
        <v>26</v>
      </c>
      <c r="B31" s="7" t="s">
        <v>70</v>
      </c>
      <c r="C31" s="7" t="s">
        <v>71</v>
      </c>
      <c r="D31" s="7" t="s">
        <v>72</v>
      </c>
      <c r="E31" s="8" t="s">
        <v>18</v>
      </c>
      <c r="F31" s="9" t="n">
        <f aca="false">$C$3+A31-1</f>
        <v>46314</v>
      </c>
      <c r="G31" s="8" t="s">
        <v>19</v>
      </c>
      <c r="H31" s="10"/>
      <c r="I31" s="7" t="str">
        <f aca="true">IF(OR(G31="Done",G31="Not needed"),"",IF(F31&lt;TODAY(),"Overdue",IF(F31&lt;=TODAY()+7,"Due soon","")))</f>
        <v/>
      </c>
      <c r="J31" s="8"/>
    </row>
    <row r="32" customFormat="false" ht="15" hidden="false" customHeight="false" outlineLevel="0" collapsed="false">
      <c r="A32" s="7" t="n">
        <v>27</v>
      </c>
      <c r="B32" s="7" t="s">
        <v>70</v>
      </c>
      <c r="C32" s="7" t="s">
        <v>73</v>
      </c>
      <c r="D32" s="7" t="s">
        <v>74</v>
      </c>
      <c r="E32" s="8" t="s">
        <v>18</v>
      </c>
      <c r="F32" s="9" t="n">
        <f aca="false">$C$3+A32-1</f>
        <v>46315</v>
      </c>
      <c r="G32" s="8" t="s">
        <v>19</v>
      </c>
      <c r="H32" s="10"/>
      <c r="I32" s="7" t="str">
        <f aca="true">IF(OR(G32="Done",G32="Not needed"),"",IF(F32&lt;TODAY(),"Overdue",IF(F32&lt;=TODAY()+7,"Due soon","")))</f>
        <v/>
      </c>
      <c r="J32" s="8"/>
    </row>
    <row r="33" customFormat="false" ht="15" hidden="false" customHeight="false" outlineLevel="0" collapsed="false">
      <c r="A33" s="7" t="n">
        <v>28</v>
      </c>
      <c r="B33" s="7" t="s">
        <v>70</v>
      </c>
      <c r="C33" s="7" t="s">
        <v>75</v>
      </c>
      <c r="D33" s="7" t="s">
        <v>76</v>
      </c>
      <c r="E33" s="8" t="s">
        <v>18</v>
      </c>
      <c r="F33" s="9" t="n">
        <f aca="false">$C$3+A33-1</f>
        <v>46316</v>
      </c>
      <c r="G33" s="8" t="s">
        <v>19</v>
      </c>
      <c r="H33" s="10"/>
      <c r="I33" s="7" t="str">
        <f aca="true">IF(OR(G33="Done",G33="Not needed"),"",IF(F33&lt;TODAY(),"Overdue",IF(F33&lt;=TODAY()+7,"Due soon","")))</f>
        <v/>
      </c>
      <c r="J33" s="8"/>
    </row>
    <row r="34" customFormat="false" ht="15" hidden="false" customHeight="false" outlineLevel="0" collapsed="false">
      <c r="A34" s="7" t="n">
        <v>29</v>
      </c>
      <c r="B34" s="7" t="s">
        <v>70</v>
      </c>
      <c r="C34" s="7" t="s">
        <v>77</v>
      </c>
      <c r="D34" s="7" t="s">
        <v>78</v>
      </c>
      <c r="E34" s="8" t="s">
        <v>18</v>
      </c>
      <c r="F34" s="9" t="n">
        <f aca="false">$C$3+A34-1</f>
        <v>46317</v>
      </c>
      <c r="G34" s="8" t="s">
        <v>19</v>
      </c>
      <c r="H34" s="10"/>
      <c r="I34" s="7" t="str">
        <f aca="true">IF(OR(G34="Done",G34="Not needed"),"",IF(F34&lt;TODAY(),"Overdue",IF(F34&lt;=TODAY()+7,"Due soon","")))</f>
        <v/>
      </c>
      <c r="J34" s="8"/>
    </row>
    <row r="35" customFormat="false" ht="15" hidden="false" customHeight="false" outlineLevel="0" collapsed="false">
      <c r="A35" s="7" t="n">
        <v>30</v>
      </c>
      <c r="B35" s="7" t="s">
        <v>70</v>
      </c>
      <c r="C35" s="7" t="s">
        <v>79</v>
      </c>
      <c r="D35" s="7" t="s">
        <v>80</v>
      </c>
      <c r="E35" s="8" t="s">
        <v>18</v>
      </c>
      <c r="F35" s="9" t="n">
        <f aca="false">$C$3+A35-1</f>
        <v>46318</v>
      </c>
      <c r="G35" s="8" t="s">
        <v>19</v>
      </c>
      <c r="H35" s="10"/>
      <c r="I35" s="7" t="str">
        <f aca="true">IF(OR(G35="Done",G35="Not needed"),"",IF(F35&lt;TODAY(),"Overdue",IF(F35&lt;=TODAY()+7,"Due soon","")))</f>
        <v/>
      </c>
      <c r="J35" s="8"/>
    </row>
    <row r="36" customFormat="false" ht="15" hidden="false" customHeight="false" outlineLevel="0" collapsed="false">
      <c r="A36" s="7" t="n">
        <v>45</v>
      </c>
      <c r="B36" s="7" t="s">
        <v>81</v>
      </c>
      <c r="C36" s="7" t="s">
        <v>82</v>
      </c>
      <c r="D36" s="7" t="s">
        <v>83</v>
      </c>
      <c r="E36" s="8" t="s">
        <v>18</v>
      </c>
      <c r="F36" s="9" t="n">
        <f aca="false">$C$3+A36-1</f>
        <v>46333</v>
      </c>
      <c r="G36" s="8" t="s">
        <v>19</v>
      </c>
      <c r="H36" s="10"/>
      <c r="I36" s="7" t="str">
        <f aca="true">IF(OR(G36="Done",G36="Not needed"),"",IF(F36&lt;TODAY(),"Overdue",IF(F36&lt;=TODAY()+7,"Due soon","")))</f>
        <v/>
      </c>
      <c r="J36" s="8"/>
    </row>
    <row r="37" customFormat="false" ht="28.35" hidden="false" customHeight="false" outlineLevel="0" collapsed="false">
      <c r="A37" s="7" t="n">
        <v>50</v>
      </c>
      <c r="B37" s="7" t="s">
        <v>81</v>
      </c>
      <c r="C37" s="7" t="s">
        <v>84</v>
      </c>
      <c r="D37" s="7" t="s">
        <v>85</v>
      </c>
      <c r="E37" s="8" t="s">
        <v>18</v>
      </c>
      <c r="F37" s="9" t="n">
        <f aca="false">$C$3+A37-1</f>
        <v>46338</v>
      </c>
      <c r="G37" s="8" t="s">
        <v>19</v>
      </c>
      <c r="H37" s="10"/>
      <c r="I37" s="7" t="str">
        <f aca="true">IF(OR(G37="Done",G37="Not needed"),"",IF(F37&lt;TODAY(),"Overdue",IF(F37&lt;=TODAY()+7,"Due soon","")))</f>
        <v/>
      </c>
      <c r="J37" s="8"/>
    </row>
    <row r="38" customFormat="false" ht="28.35" hidden="false" customHeight="false" outlineLevel="0" collapsed="false">
      <c r="A38" s="7" t="n">
        <v>55</v>
      </c>
      <c r="B38" s="7" t="s">
        <v>81</v>
      </c>
      <c r="C38" s="7" t="s">
        <v>86</v>
      </c>
      <c r="D38" s="7" t="s">
        <v>87</v>
      </c>
      <c r="E38" s="8" t="s">
        <v>18</v>
      </c>
      <c r="F38" s="9" t="n">
        <f aca="false">$C$3+A38-1</f>
        <v>46343</v>
      </c>
      <c r="G38" s="8" t="s">
        <v>19</v>
      </c>
      <c r="H38" s="10"/>
      <c r="I38" s="7" t="str">
        <f aca="true">IF(OR(G38="Done",G38="Not needed"),"",IF(F38&lt;TODAY(),"Overdue",IF(F38&lt;=TODAY()+7,"Due soon","")))</f>
        <v/>
      </c>
      <c r="J38" s="8"/>
    </row>
    <row r="39" customFormat="false" ht="28.35" hidden="false" customHeight="false" outlineLevel="0" collapsed="false">
      <c r="A39" s="7" t="n">
        <v>60</v>
      </c>
      <c r="B39" s="7" t="s">
        <v>81</v>
      </c>
      <c r="C39" s="7" t="s">
        <v>88</v>
      </c>
      <c r="D39" s="7" t="s">
        <v>89</v>
      </c>
      <c r="E39" s="8" t="s">
        <v>18</v>
      </c>
      <c r="F39" s="9" t="n">
        <f aca="false">$C$3+A39-1</f>
        <v>46348</v>
      </c>
      <c r="G39" s="8" t="s">
        <v>19</v>
      </c>
      <c r="H39" s="10"/>
      <c r="I39" s="7" t="str">
        <f aca="true">IF(OR(G39="Done",G39="Not needed"),"",IF(F39&lt;TODAY(),"Overdue",IF(F39&lt;=TODAY()+7,"Due soon","")))</f>
        <v/>
      </c>
      <c r="J39" s="8"/>
    </row>
    <row r="40" customFormat="false" ht="15" hidden="false" customHeight="false" outlineLevel="0" collapsed="false">
      <c r="A40" s="7" t="n">
        <v>75</v>
      </c>
      <c r="B40" s="7" t="s">
        <v>81</v>
      </c>
      <c r="C40" s="7" t="s">
        <v>90</v>
      </c>
      <c r="D40" s="7" t="s">
        <v>91</v>
      </c>
      <c r="E40" s="8" t="s">
        <v>18</v>
      </c>
      <c r="F40" s="9" t="n">
        <f aca="false">$C$3+A40-1</f>
        <v>46363</v>
      </c>
      <c r="G40" s="8" t="s">
        <v>19</v>
      </c>
      <c r="H40" s="10"/>
      <c r="I40" s="7" t="str">
        <f aca="true">IF(OR(G40="Done",G40="Not needed"),"",IF(F40&lt;TODAY(),"Overdue",IF(F40&lt;=TODAY()+7,"Due soon","")))</f>
        <v/>
      </c>
      <c r="J40" s="8"/>
    </row>
    <row r="41" customFormat="false" ht="28.35" hidden="false" customHeight="false" outlineLevel="0" collapsed="false">
      <c r="A41" s="7" t="n">
        <v>90</v>
      </c>
      <c r="B41" s="7" t="s">
        <v>81</v>
      </c>
      <c r="C41" s="7" t="s">
        <v>92</v>
      </c>
      <c r="D41" s="7" t="s">
        <v>93</v>
      </c>
      <c r="E41" s="8" t="s">
        <v>18</v>
      </c>
      <c r="F41" s="9" t="n">
        <f aca="false">$C$3+A41-1</f>
        <v>46378</v>
      </c>
      <c r="G41" s="8" t="s">
        <v>19</v>
      </c>
      <c r="H41" s="10"/>
      <c r="I41" s="7" t="str">
        <f aca="true">IF(OR(G41="Done",G41="Not needed"),"",IF(F41&lt;TODAY(),"Overdue",IF(F41&lt;=TODAY()+7,"Due soon","")))</f>
        <v/>
      </c>
      <c r="J41" s="8"/>
    </row>
  </sheetData>
  <conditionalFormatting sqref="A6:J41">
    <cfRule type="expression" priority="2" aboveAverage="0" equalAverage="0" bottom="0" percent="0" rank="0" text="" dxfId="0">
      <formula>$G6="Done"</formula>
    </cfRule>
    <cfRule type="expression" priority="3" aboveAverage="0" equalAverage="0" bottom="0" percent="0" rank="0" text="" dxfId="1">
      <formula>$I6="Overdue"</formula>
    </cfRule>
    <cfRule type="expression" priority="4" aboveAverage="0" equalAverage="0" bottom="0" percent="0" rank="0" text="" dxfId="2">
      <formula>$I6="Due soon"</formula>
    </cfRule>
  </conditionalFormatting>
  <dataValidations count="1">
    <dataValidation allowBlank="false" errorStyle="stop" operator="between" showDropDown="false" showErrorMessage="false" showInputMessage="false" sqref="G6:G41" type="list">
      <formula1>"Not started,In progress,Done,Blocked,Not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14" min="3" style="0" width="9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6" t="s">
        <v>96</v>
      </c>
      <c r="B4" s="6" t="s">
        <v>97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  <c r="J4" s="6" t="s">
        <v>105</v>
      </c>
      <c r="K4" s="6" t="s">
        <v>106</v>
      </c>
      <c r="L4" s="6" t="s">
        <v>107</v>
      </c>
      <c r="M4" s="6" t="s">
        <v>108</v>
      </c>
      <c r="N4" s="6" t="s">
        <v>109</v>
      </c>
    </row>
    <row r="5" customFormat="false" ht="15" hidden="false" customHeight="false" outlineLevel="0" collapsed="false">
      <c r="A5" s="11" t="s">
        <v>110</v>
      </c>
      <c r="B5" s="11" t="n">
        <v>20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15" hidden="false" customHeight="false" outlineLevel="0" collapsed="false">
      <c r="A6" s="11" t="s">
        <v>111</v>
      </c>
      <c r="B6" s="11" t="n">
        <v>10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customFormat="false" ht="15" hidden="false" customHeight="false" outlineLevel="0" collapsed="false">
      <c r="A7" s="11" t="s">
        <v>112</v>
      </c>
      <c r="B7" s="11" t="n">
        <v>15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customFormat="false" ht="15" hidden="false" customHeight="false" outlineLevel="0" collapsed="false">
      <c r="A8" s="11" t="s">
        <v>113</v>
      </c>
      <c r="B8" s="11" t="n">
        <v>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A9" s="11" t="s">
        <v>114</v>
      </c>
      <c r="B9" s="11" t="n">
        <v>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5" hidden="false" customHeight="false" outlineLevel="0" collapsed="false">
      <c r="A10" s="11" t="s">
        <v>115</v>
      </c>
      <c r="B10" s="11" t="n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</sheetData>
  <conditionalFormatting sqref="C5:N5">
    <cfRule type="expression" priority="2" aboveAverage="0" equalAverage="0" bottom="0" percent="0" rank="0" text="" dxfId="0">
      <formula>AND(C5&lt;&gt;"",C5&gt;=$B5)</formula>
    </cfRule>
    <cfRule type="expression" priority="3" aboveAverage="0" equalAverage="0" bottom="0" percent="0" rank="0" text="" dxfId="2">
      <formula>AND(C5&lt;&gt;"",C5&lt;$B5)</formula>
    </cfRule>
  </conditionalFormatting>
  <conditionalFormatting sqref="C6:N6">
    <cfRule type="expression" priority="4" aboveAverage="0" equalAverage="0" bottom="0" percent="0" rank="0" text="" dxfId="0">
      <formula>AND(C6&lt;&gt;"",C6&gt;=$B6)</formula>
    </cfRule>
    <cfRule type="expression" priority="5" aboveAverage="0" equalAverage="0" bottom="0" percent="0" rank="0" text="" dxfId="2">
      <formula>AND(C6&lt;&gt;"",C6&lt;$B6)</formula>
    </cfRule>
  </conditionalFormatting>
  <conditionalFormatting sqref="C7:N7">
    <cfRule type="expression" priority="6" aboveAverage="0" equalAverage="0" bottom="0" percent="0" rank="0" text="" dxfId="0">
      <formula>AND(C7&lt;&gt;"",C7&gt;=$B7)</formula>
    </cfRule>
    <cfRule type="expression" priority="7" aboveAverage="0" equalAverage="0" bottom="0" percent="0" rank="0" text="" dxfId="2">
      <formula>AND(C7&lt;&gt;"",C7&lt;$B7)</formula>
    </cfRule>
  </conditionalFormatting>
  <conditionalFormatting sqref="C8:N8">
    <cfRule type="expression" priority="8" aboveAverage="0" equalAverage="0" bottom="0" percent="0" rank="0" text="" dxfId="0">
      <formula>AND(C8&lt;&gt;"",C8&gt;=$B8)</formula>
    </cfRule>
    <cfRule type="expression" priority="9" aboveAverage="0" equalAverage="0" bottom="0" percent="0" rank="0" text="" dxfId="2">
      <formula>AND(C8&lt;&gt;"",C8&lt;$B8)</formula>
    </cfRule>
  </conditionalFormatting>
  <conditionalFormatting sqref="C9:N9">
    <cfRule type="expression" priority="10" aboveAverage="0" equalAverage="0" bottom="0" percent="0" rank="0" text="" dxfId="0">
      <formula>AND(C9&lt;&gt;"",C9&gt;=$B9)</formula>
    </cfRule>
    <cfRule type="expression" priority="11" aboveAverage="0" equalAverage="0" bottom="0" percent="0" rank="0" text="" dxfId="2">
      <formula>AND(C9&lt;&gt;"",C9&lt;$B9)</formula>
    </cfRule>
  </conditionalFormatting>
  <conditionalFormatting sqref="C10:N10">
    <cfRule type="expression" priority="12" aboveAverage="0" equalAverage="0" bottom="0" percent="0" rank="0" text="" dxfId="0">
      <formula>AND(C10&lt;&gt;"",C10&gt;=$B10)</formula>
    </cfRule>
    <cfRule type="expression" priority="13" aboveAverage="0" equalAverage="0" bottom="0" percent="0" rank="0" text="" dxfId="2">
      <formula>AND(C10&lt;&gt;"",C10&lt;$B10)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2026-09-24T20:41:50Z</dcterms:created>
  <dc:creator>openpyxl</dc:creator>
  <dc:description/>
  <dc:language>en-US</dc:language>
  <cp:lastModifiedBy/>
  <dcterms:modified xsi:type="dcterms:W3CDTF">2026-09-24T20:41:50Z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