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Volumes" sheetId="3" state="visible" r:id="rId5"/>
    <sheet name="Year 1 Monthl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<sst xmlns="http://schemas.openxmlformats.org/spreadsheetml/2006/main" count="149" uniqueCount="97">
  <si>
    <t xml:space="preserve">Haverton Recruitment: Year 1 summary</t>
  </si>
  <si>
    <t xml:space="preserve">Measure</t>
  </si>
  <si>
    <t xml:space="preserve">Year 1</t>
  </si>
  <si>
    <t xml:space="preserve">Total revenue</t>
  </si>
  <si>
    <t xml:space="preserve">Gross profit</t>
  </si>
  <si>
    <t xml:space="preserve">Gross margin</t>
  </si>
  <si>
    <t xml:space="preserve">Operating costs</t>
  </si>
  <si>
    <t xml:space="preserve">Profit before tax (EBITDA)</t>
  </si>
  <si>
    <t xml:space="preserve">Permanent placements</t>
  </si>
  <si>
    <t xml:space="preserve">VAT</t>
  </si>
  <si>
    <t xml:space="preserve">Temp GP per hour check</t>
  </si>
  <si>
    <t xml:space="preserve">Base case Years 2 and 3 (targets from Financial Model v2.0): revenue £2,563,380 and £5,414,240; gross profit £1,055,634 and £1,996,879. Driven mainly by temporary staffing, which starts only after the Go Live Gate.</t>
  </si>
  <si>
    <t xml:space="preserve">These are forecasts and targets, not promises or results. Review with your accountant.</t>
  </si>
  <si>
    <t xml:space="preserve">Haverton Recruitment Forecast</t>
  </si>
  <si>
    <t xml:space="preserve">Year 1 = October 2026 to September 2027. Blue = inputs you can change. Yellow = choose the case. All values exclude VAT. Targets, not promises.</t>
  </si>
  <si>
    <t xml:space="preserve">Case to show</t>
  </si>
  <si>
    <t xml:space="preserve">Cautious</t>
  </si>
  <si>
    <t xml:space="preserve">Choose Cautious or Base</t>
  </si>
  <si>
    <t xml:space="preserve">Assumption</t>
  </si>
  <si>
    <t xml:space="preserve">Unit</t>
  </si>
  <si>
    <t xml:space="preserve">Base</t>
  </si>
  <si>
    <t xml:space="preserve">Source or note</t>
  </si>
  <si>
    <t xml:space="preserve">Selected</t>
  </si>
  <si>
    <t xml:space="preserve">Average permanent fee</t>
  </si>
  <si>
    <t xml:space="preserve">£ per placement</t>
  </si>
  <si>
    <t xml:space="preserve">Cautious: planning assumption. Base: Financial Model v2.0</t>
  </si>
  <si>
    <t xml:space="preserve">Average retained search fee</t>
  </si>
  <si>
    <t xml:space="preserve">£ per search</t>
  </si>
  <si>
    <t xml:space="preserve">Cautious: assumption. Base: Financial Model v2.0</t>
  </si>
  <si>
    <t xml:space="preserve">Average compliance project fee</t>
  </si>
  <si>
    <t xml:space="preserve">£ per project</t>
  </si>
  <si>
    <t xml:space="preserve">Financial Model v2.0 [confirm per scope]</t>
  </si>
  <si>
    <t xml:space="preserve">Temp hours per worker per week</t>
  </si>
  <si>
    <t xml:space="preserve">hours</t>
  </si>
  <si>
    <t xml:space="preserve">Financial Model v2.0</t>
  </si>
  <si>
    <t xml:space="preserve">Temp charge rate</t>
  </si>
  <si>
    <t xml:space="preserve">£ per hour</t>
  </si>
  <si>
    <t xml:space="preserve">Financial Model v2.0, ex VAT</t>
  </si>
  <si>
    <t xml:space="preserve">Temp basic pay</t>
  </si>
  <si>
    <t xml:space="preserve">Must stay at or above National Living Wage (£12.71, 21+, from April 2026)</t>
  </si>
  <si>
    <t xml:space="preserve">Holiday pay load</t>
  </si>
  <si>
    <t xml:space="preserve">% of pay</t>
  </si>
  <si>
    <t xml:space="preserve">Planning load; confirm payroll method</t>
  </si>
  <si>
    <t xml:space="preserve">Employer NI load (blended)</t>
  </si>
  <si>
    <t xml:space="preserve">Planning proxy; statutory rate is 15% above threshold</t>
  </si>
  <si>
    <t xml:space="preserve">Pension load (blended)</t>
  </si>
  <si>
    <t xml:space="preserve">Planning proxy</t>
  </si>
  <si>
    <t xml:space="preserve">Other temp direct cost</t>
  </si>
  <si>
    <t xml:space="preserve">Payroll, compliance, insurance allocation</t>
  </si>
  <si>
    <t xml:space="preserve">Bad debt allowance</t>
  </si>
  <si>
    <t xml:space="preserve">% of temp billings</t>
  </si>
  <si>
    <t xml:space="preserve">Permanent direct cost</t>
  </si>
  <si>
    <t xml:space="preserve">% of fee</t>
  </si>
  <si>
    <t xml:space="preserve">Job boards, checks</t>
  </si>
  <si>
    <t xml:space="preserve">Retained direct cost</t>
  </si>
  <si>
    <t xml:space="preserve">Compliance project direct cost</t>
  </si>
  <si>
    <t xml:space="preserve">Weeks per month</t>
  </si>
  <si>
    <t xml:space="preserve">weeks</t>
  </si>
  <si>
    <t xml:space="preserve">Average</t>
  </si>
  <si>
    <t xml:space="preserve">VAT registration threshold</t>
  </si>
  <si>
    <t xml:space="preserve">£ taxable turnover</t>
  </si>
  <si>
    <t xml:space="preserve">GOV.UK [confirm current]</t>
  </si>
  <si>
    <t xml:space="preserve">Loaded temp cost per hour</t>
  </si>
  <si>
    <t xml:space="preserve">Temp gross profit per hour (after bad debt)</t>
  </si>
  <si>
    <t xml:space="preserve">Floor check (target at least £5.50)</t>
  </si>
  <si>
    <t xml:space="preserve">Monthly volumes by case</t>
  </si>
  <si>
    <t xml:space="preserve">Blue = inputs. Base case from Financial Model v2.0. Cautious case is a founder-only planning assumption with no temporary staffing in Year 1.</t>
  </si>
  <si>
    <t xml:space="preserve">Cautious case</t>
  </si>
  <si>
    <t xml:space="preserve">Line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</si>
  <si>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</si>
  <si>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</si>
  <si>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</si>
  <si>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</si>
  <si>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</si>
  <si>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</si>
  <si>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</si>
  <si>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</si>
  <si>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</si>
  <si>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</si>
  <si>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</si>
  <si>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</si>
  <si>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Retained searches</t>
  </si>
  <si>
    <t xml:space="preserve">Compliance projects</t>
  </si>
  <si>
    <t xml:space="preserve">Active temp workers</t>
  </si>
  <si>
    <t xml:space="preserve">Operating costs (£)</t>
  </si>
  <si>
    <t xml:space="preserve">Base case</t>
  </si>
  <si>
    <t xml:space="preserve">Cautious operating costs of £1,500 a month are an assumption (insurance, accountant, marketing, phone). They do not include any salary or drawings for the founder. Confirm with your accountant.</t>
  </si>
  <si>
    <t xml:space="preserve">Year 1 monthly forecast (selected case)</t>
  </si>
  <si>
    <t xml:space="preserve">Permanent revenue</t>
  </si>
  <si>
    <t xml:space="preserve">Retained revenue</t>
  </si>
  <si>
    <t xml:space="preserve">Project revenue</t>
  </si>
  <si>
    <t xml:space="preserve">Temp revenue</t>
  </si>
  <si>
    <t xml:space="preserve">Direct costs</t>
  </si>
  <si>
    <t xml:space="preserve">Cumulative profit</t>
  </si>
  <si>
    <t xml:space="preserve">Rolling revenue (VAT watch)</t>
  </si>
  <si>
    <t xml:space="preserve">VAT threshold passed?</t>
  </si>
  <si>
    <t xml:space="preserve">Temp gross profit per hour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</si>
</sst>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0.0%;\(0.0%\);\-"/>
    <numFmt numFmtId="167" formatCode="#,##0.0;\(#,##0.0\);\-"/>
    <numFmt numFmtId="168" formatCode="\£#,##0.00;&quot;(£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B45"/>
      <name val="Arial"/>
      <family val="0"/>
      <charset val="1"/>
    </font>
    <font>
      <b val="true"/>
      <sz val="11"/>
      <color rgb="FF1B2B45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3EFE6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EF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tr">
        <f aca="false">"Case shown: "&amp;Assumptions!$C$3&amp;"  (change on the Assumptions sheet)"</f>
        <v>Case shown: Cautious  (change on the Assumptions sheet)</v>
      </c>
    </row>
    <row r="4" customFormat="false" ht="15" hidden="false" customHeight="true" outlineLevel="0" collapsed="false">
      <c r="A4" s="3" t="s">
        <v>1</v>
      </c>
      <c r="B4" s="3" t="s">
        <v>2</v>
      </c>
    </row>
    <row r="5" customFormat="false" ht="15" hidden="false" customHeight="true" outlineLevel="0" collapsed="false">
      <c r="A5" s="4" t="s">
        <v>3</v>
      </c>
      <c r="B5" s="5" t="n">
        <f aca="false">'Year 1 Monthly'!N13</f>
        <v>98000</v>
      </c>
    </row>
    <row r="6" customFormat="false" ht="15" hidden="false" customHeight="true" outlineLevel="0" collapsed="false">
      <c r="A6" s="4" t="s">
        <v>4</v>
      </c>
      <c r="B6" s="5" t="n">
        <f aca="false">'Year 1 Monthly'!N15</f>
        <v>90320</v>
      </c>
    </row>
    <row r="7" customFormat="false" ht="15" hidden="false" customHeight="true" outlineLevel="0" collapsed="false">
      <c r="A7" s="4" t="s">
        <v>5</v>
      </c>
      <c r="B7" s="6" t="n">
        <f aca="false">'Year 1 Monthly'!N16</f>
        <v>0.921632653061224</v>
      </c>
    </row>
    <row r="8" customFormat="false" ht="15" hidden="false" customHeight="true" outlineLevel="0" collapsed="false">
      <c r="A8" s="4" t="s">
        <v>6</v>
      </c>
      <c r="B8" s="5" t="n">
        <f aca="false">'Year 1 Monthly'!N17</f>
        <v>18000</v>
      </c>
    </row>
    <row r="9" customFormat="false" ht="15" hidden="false" customHeight="true" outlineLevel="0" collapsed="false">
      <c r="A9" s="4" t="s">
        <v>7</v>
      </c>
      <c r="B9" s="5" t="n">
        <f aca="false">'Year 1 Monthly'!N18</f>
        <v>72320</v>
      </c>
    </row>
    <row r="10" customFormat="false" ht="15" hidden="false" customHeight="true" outlineLevel="0" collapsed="false">
      <c r="A10" s="4" t="s">
        <v>8</v>
      </c>
      <c r="B10" s="7" t="n">
        <f aca="false">'Year 1 Monthly'!N5</f>
        <v>12</v>
      </c>
    </row>
    <row r="11" customFormat="false" ht="15" hidden="false" customHeight="true" outlineLevel="0" collapsed="false">
      <c r="A11" s="4" t="s">
        <v>9</v>
      </c>
      <c r="B11" s="8" t="str">
        <f aca="false">'Year 1 Monthly'!B22</f>
        <v>Yes: register for VAT (check timing with accountant)</v>
      </c>
    </row>
    <row r="12" customFormat="false" ht="15" hidden="false" customHeight="true" outlineLevel="0" collapsed="false">
      <c r="A12" s="4" t="s">
        <v>10</v>
      </c>
      <c r="B12" s="8" t="str">
        <f aca="false">Assumptions!F26</f>
        <v>OK</v>
      </c>
    </row>
    <row r="14" customFormat="false" ht="15" hidden="false" customHeight="true" outlineLevel="0" collapsed="false">
      <c r="A14" s="9" t="s">
        <v>11</v>
      </c>
    </row>
    <row r="15" customFormat="false" ht="15" hidden="false" customHeight="true" outlineLevel="0" collapsed="false">
      <c r="A15" s="9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  <col collapsed="false" customWidth="true" hidden="false" outlineLevel="0" max="4" min="3" style="1" width="14"/>
    <col collapsed="false" customWidth="true" hidden="false" outlineLevel="0" max="5" min="5" style="1" width="62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13</v>
      </c>
    </row>
    <row r="2" customFormat="false" ht="15" hidden="false" customHeight="true" outlineLevel="0" collapsed="false">
      <c r="A2" s="9" t="s">
        <v>14</v>
      </c>
    </row>
    <row r="3" customFormat="false" ht="15" hidden="false" customHeight="true" outlineLevel="0" collapsed="false">
      <c r="A3" s="10" t="s">
        <v>15</v>
      </c>
      <c r="C3" s="11" t="s">
        <v>16</v>
      </c>
      <c r="D3" s="1" t="s">
        <v>17</v>
      </c>
    </row>
    <row r="5" customFormat="false" ht="15" hidden="false" customHeight="true" outlineLevel="0" collapsed="false">
      <c r="A5" s="3" t="s">
        <v>18</v>
      </c>
      <c r="B5" s="3" t="s">
        <v>19</v>
      </c>
      <c r="C5" s="3" t="s">
        <v>16</v>
      </c>
      <c r="D5" s="3" t="s">
        <v>20</v>
      </c>
      <c r="E5" s="3" t="s">
        <v>21</v>
      </c>
      <c r="F5" s="3" t="s">
        <v>22</v>
      </c>
    </row>
    <row r="6" customFormat="false" ht="15" hidden="false" customHeight="true" outlineLevel="0" collapsed="false">
      <c r="A6" s="4" t="s">
        <v>23</v>
      </c>
      <c r="B6" s="4" t="s">
        <v>24</v>
      </c>
      <c r="C6" s="12" t="n">
        <v>5500</v>
      </c>
      <c r="D6" s="12" t="n">
        <v>7500</v>
      </c>
      <c r="E6" s="4" t="s">
        <v>25</v>
      </c>
      <c r="F6" s="13" t="n">
        <f aca="false">IF($C$3="Base",D6,C6)</f>
        <v>5500</v>
      </c>
    </row>
    <row r="7" customFormat="false" ht="15" hidden="false" customHeight="true" outlineLevel="0" collapsed="false">
      <c r="A7" s="4" t="s">
        <v>26</v>
      </c>
      <c r="B7" s="4" t="s">
        <v>27</v>
      </c>
      <c r="C7" s="12" t="n">
        <v>10000</v>
      </c>
      <c r="D7" s="12" t="n">
        <v>12000</v>
      </c>
      <c r="E7" s="4" t="s">
        <v>28</v>
      </c>
      <c r="F7" s="13" t="n">
        <f aca="false">IF($C$3="Base",D7,C7)</f>
        <v>10000</v>
      </c>
    </row>
    <row r="8" customFormat="false" ht="15" hidden="false" customHeight="true" outlineLevel="0" collapsed="false">
      <c r="A8" s="4" t="s">
        <v>29</v>
      </c>
      <c r="B8" s="4" t="s">
        <v>30</v>
      </c>
      <c r="C8" s="12" t="n">
        <v>1500</v>
      </c>
      <c r="D8" s="12" t="n">
        <v>1500</v>
      </c>
      <c r="E8" s="4" t="s">
        <v>31</v>
      </c>
      <c r="F8" s="13" t="n">
        <f aca="false">IF($C$3="Base",D8,C8)</f>
        <v>1500</v>
      </c>
    </row>
    <row r="9" customFormat="false" ht="15" hidden="false" customHeight="true" outlineLevel="0" collapsed="false">
      <c r="A9" s="4" t="s">
        <v>32</v>
      </c>
      <c r="B9" s="4" t="s">
        <v>33</v>
      </c>
      <c r="C9" s="14" t="n">
        <v>30</v>
      </c>
      <c r="D9" s="14" t="n">
        <v>30</v>
      </c>
      <c r="E9" s="4" t="s">
        <v>34</v>
      </c>
      <c r="F9" s="15" t="n">
        <f aca="false">IF($C$3="Base",D9,C9)</f>
        <v>30</v>
      </c>
    </row>
    <row r="10" customFormat="false" ht="15" hidden="false" customHeight="true" outlineLevel="0" collapsed="false">
      <c r="A10" s="4" t="s">
        <v>35</v>
      </c>
      <c r="B10" s="4" t="s">
        <v>36</v>
      </c>
      <c r="C10" s="14" t="n">
        <v>26</v>
      </c>
      <c r="D10" s="14" t="n">
        <v>26</v>
      </c>
      <c r="E10" s="4" t="s">
        <v>37</v>
      </c>
      <c r="F10" s="15" t="n">
        <f aca="false">IF($C$3="Base",D10,C10)</f>
        <v>26</v>
      </c>
    </row>
    <row r="11" customFormat="false" ht="15" hidden="false" customHeight="true" outlineLevel="0" collapsed="false">
      <c r="A11" s="4" t="s">
        <v>38</v>
      </c>
      <c r="B11" s="4" t="s">
        <v>36</v>
      </c>
      <c r="C11" s="14" t="n">
        <v>14.5</v>
      </c>
      <c r="D11" s="14" t="n">
        <v>14.5</v>
      </c>
      <c r="E11" s="4" t="s">
        <v>39</v>
      </c>
      <c r="F11" s="15" t="n">
        <f aca="false">IF($C$3="Base",D11,C11)</f>
        <v>14.5</v>
      </c>
    </row>
    <row r="12" customFormat="false" ht="15" hidden="false" customHeight="true" outlineLevel="0" collapsed="false">
      <c r="A12" s="4" t="s">
        <v>40</v>
      </c>
      <c r="B12" s="4" t="s">
        <v>41</v>
      </c>
      <c r="C12" s="16" t="n">
        <v>0.1207</v>
      </c>
      <c r="D12" s="16" t="n">
        <v>0.1207</v>
      </c>
      <c r="E12" s="4" t="s">
        <v>42</v>
      </c>
      <c r="F12" s="17" t="n">
        <f aca="false">IF($C$3="Base",D12,C12)</f>
        <v>0.1207</v>
      </c>
    </row>
    <row r="13" customFormat="false" ht="15" hidden="false" customHeight="true" outlineLevel="0" collapsed="false">
      <c r="A13" s="4" t="s">
        <v>43</v>
      </c>
      <c r="B13" s="4" t="s">
        <v>41</v>
      </c>
      <c r="C13" s="16" t="n">
        <v>0.105</v>
      </c>
      <c r="D13" s="16" t="n">
        <v>0.105</v>
      </c>
      <c r="E13" s="4" t="s">
        <v>44</v>
      </c>
      <c r="F13" s="17" t="n">
        <f aca="false">IF($C$3="Base",D13,C13)</f>
        <v>0.105</v>
      </c>
    </row>
    <row r="14" customFormat="false" ht="15" hidden="false" customHeight="true" outlineLevel="0" collapsed="false">
      <c r="A14" s="4" t="s">
        <v>45</v>
      </c>
      <c r="B14" s="4" t="s">
        <v>41</v>
      </c>
      <c r="C14" s="16" t="n">
        <v>0.025</v>
      </c>
      <c r="D14" s="16" t="n">
        <v>0.025</v>
      </c>
      <c r="E14" s="4" t="s">
        <v>46</v>
      </c>
      <c r="F14" s="17" t="n">
        <f aca="false">IF($C$3="Base",D14,C14)</f>
        <v>0.025</v>
      </c>
    </row>
    <row r="15" customFormat="false" ht="15" hidden="false" customHeight="true" outlineLevel="0" collapsed="false">
      <c r="A15" s="4" t="s">
        <v>47</v>
      </c>
      <c r="B15" s="4" t="s">
        <v>36</v>
      </c>
      <c r="C15" s="14" t="n">
        <v>0.75</v>
      </c>
      <c r="D15" s="14" t="n">
        <v>0.75</v>
      </c>
      <c r="E15" s="4" t="s">
        <v>48</v>
      </c>
      <c r="F15" s="15" t="n">
        <f aca="false">IF($C$3="Base",D15,C15)</f>
        <v>0.75</v>
      </c>
    </row>
    <row r="16" customFormat="false" ht="15" hidden="false" customHeight="true" outlineLevel="0" collapsed="false">
      <c r="A16" s="4" t="s">
        <v>49</v>
      </c>
      <c r="B16" s="4" t="s">
        <v>50</v>
      </c>
      <c r="C16" s="16" t="n">
        <v>0.01</v>
      </c>
      <c r="D16" s="16" t="n">
        <v>0.01</v>
      </c>
      <c r="E16" s="4" t="s">
        <v>34</v>
      </c>
      <c r="F16" s="17" t="n">
        <f aca="false">IF($C$3="Base",D16,C16)</f>
        <v>0.01</v>
      </c>
    </row>
    <row r="17" customFormat="false" ht="15" hidden="false" customHeight="true" outlineLevel="0" collapsed="false">
      <c r="A17" s="4" t="s">
        <v>51</v>
      </c>
      <c r="B17" s="4" t="s">
        <v>52</v>
      </c>
      <c r="C17" s="16" t="n">
        <v>0.08</v>
      </c>
      <c r="D17" s="16" t="n">
        <v>0.08</v>
      </c>
      <c r="E17" s="4" t="s">
        <v>53</v>
      </c>
      <c r="F17" s="17" t="n">
        <f aca="false">IF($C$3="Base",D17,C17)</f>
        <v>0.08</v>
      </c>
    </row>
    <row r="18" customFormat="false" ht="15" hidden="false" customHeight="true" outlineLevel="0" collapsed="false">
      <c r="A18" s="4" t="s">
        <v>54</v>
      </c>
      <c r="B18" s="4" t="s">
        <v>52</v>
      </c>
      <c r="C18" s="16" t="n">
        <v>0.06</v>
      </c>
      <c r="D18" s="16" t="n">
        <v>0.06</v>
      </c>
      <c r="E18" s="4" t="s">
        <v>34</v>
      </c>
      <c r="F18" s="17" t="n">
        <f aca="false">IF($C$3="Base",D18,C18)</f>
        <v>0.06</v>
      </c>
    </row>
    <row r="19" customFormat="false" ht="15" hidden="false" customHeight="true" outlineLevel="0" collapsed="false">
      <c r="A19" s="4" t="s">
        <v>55</v>
      </c>
      <c r="B19" s="4" t="s">
        <v>52</v>
      </c>
      <c r="C19" s="16" t="n">
        <v>0.1</v>
      </c>
      <c r="D19" s="16" t="n">
        <v>0.1</v>
      </c>
      <c r="E19" s="4" t="s">
        <v>34</v>
      </c>
      <c r="F19" s="17" t="n">
        <f aca="false">IF($C$3="Base",D19,C19)</f>
        <v>0.1</v>
      </c>
    </row>
    <row r="20" customFormat="false" ht="15" hidden="false" customHeight="true" outlineLevel="0" collapsed="false">
      <c r="A20" s="4" t="s">
        <v>56</v>
      </c>
      <c r="B20" s="4" t="s">
        <v>57</v>
      </c>
      <c r="C20" s="18" t="n">
        <v>4.33</v>
      </c>
      <c r="D20" s="18" t="n">
        <v>4.33</v>
      </c>
      <c r="E20" s="4" t="s">
        <v>58</v>
      </c>
      <c r="F20" s="19" t="n">
        <f aca="false">IF($C$3="Base",D20,C20)</f>
        <v>4.33</v>
      </c>
    </row>
    <row r="21" customFormat="false" ht="15" hidden="false" customHeight="true" outlineLevel="0" collapsed="false">
      <c r="A21" s="4" t="s">
        <v>59</v>
      </c>
      <c r="B21" s="4" t="s">
        <v>60</v>
      </c>
      <c r="C21" s="12" t="n">
        <v>90000</v>
      </c>
      <c r="D21" s="12" t="n">
        <v>90000</v>
      </c>
      <c r="E21" s="4" t="s">
        <v>61</v>
      </c>
      <c r="F21" s="13" t="n">
        <f aca="false">IF($C$3="Base",D21,C21)</f>
        <v>90000</v>
      </c>
    </row>
    <row r="24" customFormat="false" ht="15" hidden="false" customHeight="true" outlineLevel="0" collapsed="false">
      <c r="A24" s="10" t="s">
        <v>62</v>
      </c>
      <c r="F24" s="20" t="n">
        <f aca="false">F11*(1+F12+F13+F14)+F15</f>
        <v>18.88515</v>
      </c>
    </row>
    <row r="25" customFormat="false" ht="15" hidden="false" customHeight="true" outlineLevel="0" collapsed="false">
      <c r="A25" s="10" t="s">
        <v>63</v>
      </c>
      <c r="F25" s="20" t="n">
        <f aca="false">F10-F24-F10*F16</f>
        <v>6.85485</v>
      </c>
    </row>
    <row r="26" customFormat="false" ht="15" hidden="false" customHeight="true" outlineLevel="0" collapsed="false">
      <c r="A26" s="1" t="s">
        <v>64</v>
      </c>
      <c r="F26" s="1" t="str">
        <f aca="false">IF(F25&gt;=5.5,"OK","Below floor")</f>
        <v>OK</v>
      </c>
    </row>
  </sheetData>
  <dataValidations count="1">
    <dataValidation allowBlank="false" errorStyle="stop" operator="between" showDropDown="false" showErrorMessage="false" showInputMessage="false" sqref="C3" type="list">
      <formula1>"Cautious,Base"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1"/>
  </cols>
  <sheetData>
    <row r="1" customFormat="false" ht="17.25" hidden="false" customHeight="true" outlineLevel="0" collapsed="false">
      <c r="A1" s="2" t="s">
        <v>65</v>
      </c>
    </row>
    <row r="2" customFormat="false" ht="15" hidden="false" customHeight="true" outlineLevel="0" collapsed="false">
      <c r="A2" s="9" t="s">
        <v>66</v>
      </c>
    </row>
    <row r="4" customFormat="false" ht="15" hidden="false" customHeight="true" outlineLevel="0" collapsed="false">
      <c r="A4" s="21" t="s">
        <v>67</v>
      </c>
    </row>
    <row r="5" customFormat="false" ht="15" hidden="false" customHeight="true" outlineLevel="0" collapsed="false">
      <c r="A5" s="22" t="s">
        <v>68</v>
      </c>
      <c r="B5" s="3" t="s">
        <v>69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77</v>
      </c>
      <c r="K5" s="3" t="s">
        <v>78</v>
      </c>
      <c r="L5" s="3" t="s">
        <v>79</v>
      </c>
      <c r="M5" s="3" t="s">
        <v>80</v>
      </c>
    </row>
    <row r="6" customFormat="false" ht="15" hidden="false" customHeight="true" outlineLevel="0" collapsed="false">
      <c r="A6" s="4" t="s">
        <v>8</v>
      </c>
      <c r="B6" s="18" t="n">
        <v>0</v>
      </c>
      <c r="C6" s="18" t="n">
        <v>0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2</v>
      </c>
      <c r="L6" s="18" t="n">
        <v>1</v>
      </c>
      <c r="M6" s="18" t="n">
        <v>2</v>
      </c>
    </row>
    <row r="7" customFormat="false" ht="15" hidden="false" customHeight="true" outlineLevel="0" collapsed="false">
      <c r="A7" s="4" t="s">
        <v>81</v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1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1</v>
      </c>
      <c r="M7" s="18" t="n">
        <v>0</v>
      </c>
    </row>
    <row r="8" customFormat="false" ht="15" hidden="false" customHeight="true" outlineLevel="0" collapsed="false">
      <c r="A8" s="4" t="s">
        <v>82</v>
      </c>
      <c r="B8" s="18" t="n">
        <v>0</v>
      </c>
      <c r="C8" s="18" t="n">
        <v>1</v>
      </c>
      <c r="D8" s="18" t="n">
        <v>0</v>
      </c>
      <c r="E8" s="18" t="n">
        <v>1</v>
      </c>
      <c r="F8" s="18" t="n">
        <v>1</v>
      </c>
      <c r="G8" s="18" t="n">
        <v>1</v>
      </c>
      <c r="H8" s="18" t="n">
        <v>0</v>
      </c>
      <c r="I8" s="18" t="n">
        <v>1</v>
      </c>
      <c r="J8" s="18" t="n">
        <v>1</v>
      </c>
      <c r="K8" s="18" t="n">
        <v>1</v>
      </c>
      <c r="L8" s="18" t="n">
        <v>0</v>
      </c>
      <c r="M8" s="18" t="n">
        <v>1</v>
      </c>
    </row>
    <row r="9" customFormat="false" ht="15" hidden="false" customHeight="true" outlineLevel="0" collapsed="false">
      <c r="A9" s="4" t="s">
        <v>83</v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</row>
    <row r="10" customFormat="false" ht="15" hidden="false" customHeight="true" outlineLevel="0" collapsed="false">
      <c r="A10" s="4" t="s">
        <v>84</v>
      </c>
      <c r="B10" s="12" t="n">
        <v>1500</v>
      </c>
      <c r="C10" s="12" t="n">
        <v>1500</v>
      </c>
      <c r="D10" s="12" t="n">
        <v>1500</v>
      </c>
      <c r="E10" s="12" t="n">
        <v>1500</v>
      </c>
      <c r="F10" s="12" t="n">
        <v>1500</v>
      </c>
      <c r="G10" s="12" t="n">
        <v>1500</v>
      </c>
      <c r="H10" s="12" t="n">
        <v>1500</v>
      </c>
      <c r="I10" s="12" t="n">
        <v>1500</v>
      </c>
      <c r="J10" s="12" t="n">
        <v>1500</v>
      </c>
      <c r="K10" s="12" t="n">
        <v>1500</v>
      </c>
      <c r="L10" s="12" t="n">
        <v>1500</v>
      </c>
      <c r="M10" s="12" t="n">
        <v>1500</v>
      </c>
    </row>
    <row r="12" customFormat="false" ht="15" hidden="false" customHeight="true" outlineLevel="0" collapsed="false">
      <c r="A12" s="21" t="s">
        <v>85</v>
      </c>
    </row>
    <row r="13" customFormat="false" ht="15" hidden="false" customHeight="true" outlineLevel="0" collapsed="false">
      <c r="A13" s="22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  <c r="H13" s="3" t="s">
        <v>75</v>
      </c>
      <c r="I13" s="3" t="s">
        <v>76</v>
      </c>
      <c r="J13" s="3" t="s">
        <v>77</v>
      </c>
      <c r="K13" s="3" t="s">
        <v>78</v>
      </c>
      <c r="L13" s="3" t="s">
        <v>79</v>
      </c>
      <c r="M13" s="3" t="s">
        <v>80</v>
      </c>
    </row>
    <row r="14" customFormat="false" ht="15" hidden="false" customHeight="true" outlineLevel="0" collapsed="false">
      <c r="A14" s="4" t="s">
        <v>8</v>
      </c>
      <c r="B14" s="18" t="n">
        <v>0</v>
      </c>
      <c r="C14" s="18" t="n">
        <v>1</v>
      </c>
      <c r="D14" s="18" t="n">
        <v>1</v>
      </c>
      <c r="E14" s="18" t="n">
        <v>1</v>
      </c>
      <c r="F14" s="18" t="n">
        <v>2</v>
      </c>
      <c r="G14" s="18" t="n">
        <v>2</v>
      </c>
      <c r="H14" s="18" t="n">
        <v>2</v>
      </c>
      <c r="I14" s="18" t="n">
        <v>3</v>
      </c>
      <c r="J14" s="18" t="n">
        <v>3</v>
      </c>
      <c r="K14" s="18" t="n">
        <v>3</v>
      </c>
      <c r="L14" s="18" t="n">
        <v>4</v>
      </c>
      <c r="M14" s="18" t="n">
        <v>4</v>
      </c>
    </row>
    <row r="15" customFormat="false" ht="15" hidden="false" customHeight="true" outlineLevel="0" collapsed="false">
      <c r="A15" s="4" t="s">
        <v>81</v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0.5</v>
      </c>
      <c r="G15" s="18" t="n">
        <v>0.5</v>
      </c>
      <c r="H15" s="18" t="n">
        <v>0.5</v>
      </c>
      <c r="I15" s="18" t="n">
        <v>0.5</v>
      </c>
      <c r="J15" s="18" t="n">
        <v>1</v>
      </c>
      <c r="K15" s="18" t="n">
        <v>1</v>
      </c>
      <c r="L15" s="18" t="n">
        <v>1</v>
      </c>
      <c r="M15" s="18" t="n">
        <v>1</v>
      </c>
    </row>
    <row r="16" customFormat="false" ht="15" hidden="false" customHeight="true" outlineLevel="0" collapsed="false">
      <c r="A16" s="4" t="s">
        <v>82</v>
      </c>
      <c r="B16" s="18" t="n">
        <v>0</v>
      </c>
      <c r="C16" s="18" t="n">
        <v>1</v>
      </c>
      <c r="D16" s="18" t="n">
        <v>1</v>
      </c>
      <c r="E16" s="18" t="n">
        <v>1</v>
      </c>
      <c r="F16" s="18" t="n">
        <v>1</v>
      </c>
      <c r="G16" s="18" t="n">
        <v>2</v>
      </c>
      <c r="H16" s="18" t="n">
        <v>2</v>
      </c>
      <c r="I16" s="18" t="n">
        <v>2</v>
      </c>
      <c r="J16" s="18" t="n">
        <v>2</v>
      </c>
      <c r="K16" s="18" t="n">
        <v>3</v>
      </c>
      <c r="L16" s="18" t="n">
        <v>3</v>
      </c>
      <c r="M16" s="18" t="n">
        <v>3</v>
      </c>
    </row>
    <row r="17" customFormat="false" ht="15" hidden="false" customHeight="true" outlineLevel="0" collapsed="false">
      <c r="A17" s="4" t="s">
        <v>83</v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3</v>
      </c>
      <c r="I17" s="18" t="n">
        <v>6</v>
      </c>
      <c r="J17" s="18" t="n">
        <v>10</v>
      </c>
      <c r="K17" s="18" t="n">
        <v>14</v>
      </c>
      <c r="L17" s="18" t="n">
        <v>18</v>
      </c>
      <c r="M17" s="18" t="n">
        <v>22</v>
      </c>
    </row>
    <row r="18" customFormat="false" ht="15" hidden="false" customHeight="true" outlineLevel="0" collapsed="false">
      <c r="A18" s="4" t="s">
        <v>84</v>
      </c>
      <c r="B18" s="12" t="n">
        <v>4500</v>
      </c>
      <c r="C18" s="12" t="n">
        <v>5000</v>
      </c>
      <c r="D18" s="12" t="n">
        <v>5500</v>
      </c>
      <c r="E18" s="12" t="n">
        <v>7500</v>
      </c>
      <c r="F18" s="12" t="n">
        <v>10000</v>
      </c>
      <c r="G18" s="12" t="n">
        <v>11500</v>
      </c>
      <c r="H18" s="12" t="n">
        <v>14500</v>
      </c>
      <c r="I18" s="12" t="n">
        <v>17000</v>
      </c>
      <c r="J18" s="12" t="n">
        <v>19500</v>
      </c>
      <c r="K18" s="12" t="n">
        <v>22000</v>
      </c>
      <c r="L18" s="12" t="n">
        <v>24500</v>
      </c>
      <c r="M18" s="12" t="n">
        <v>27000</v>
      </c>
    </row>
    <row r="20" customFormat="false" ht="15" hidden="false" customHeight="true" outlineLevel="0" collapsed="false">
      <c r="A20" s="9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2"/>
  </cols>
  <sheetData>
    <row r="1" customFormat="false" ht="17.25" hidden="false" customHeight="true" outlineLevel="0" collapsed="false">
      <c r="A1" s="2" t="s">
        <v>87</v>
      </c>
    </row>
    <row r="2" customFormat="false" ht="15" hidden="false" customHeight="true" outlineLevel="0" collapsed="false">
      <c r="A2" s="1" t="str">
        <f aca="false">"Showing: "&amp;Assumptions!$C$3&amp;" case. Change it on the Assumptions sheet."</f>
        <v>Showing: Cautious case. Change it on the Assumptions sheet.</v>
      </c>
    </row>
    <row r="4" customFormat="false" ht="15" hidden="false" customHeight="true" outlineLevel="0" collapsed="false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2</v>
      </c>
    </row>
    <row r="5" customFormat="false" ht="15" hidden="false" customHeight="true" outlineLevel="0" collapsed="false">
      <c r="A5" s="23" t="s">
        <v>8</v>
      </c>
      <c r="B5" s="19" t="n">
        <f aca="false">IF(Assumptions!$C$3="Base",Volumes!B14,Volumes!B6)</f>
        <v>0</v>
      </c>
      <c r="C5" s="19" t="n">
        <f aca="false">IF(Assumptions!$C$3="Base",Volumes!C14,Volumes!C6)</f>
        <v>0</v>
      </c>
      <c r="D5" s="19" t="n">
        <f aca="false">IF(Assumptions!$C$3="Base",Volumes!D14,Volumes!D6)</f>
        <v>1</v>
      </c>
      <c r="E5" s="19" t="n">
        <f aca="false">IF(Assumptions!$C$3="Base",Volumes!E14,Volumes!E6)</f>
        <v>1</v>
      </c>
      <c r="F5" s="19" t="n">
        <f aca="false">IF(Assumptions!$C$3="Base",Volumes!F14,Volumes!F6)</f>
        <v>1</v>
      </c>
      <c r="G5" s="19" t="n">
        <f aca="false">IF(Assumptions!$C$3="Base",Volumes!G14,Volumes!G6)</f>
        <v>1</v>
      </c>
      <c r="H5" s="19" t="n">
        <f aca="false">IF(Assumptions!$C$3="Base",Volumes!H14,Volumes!H6)</f>
        <v>1</v>
      </c>
      <c r="I5" s="19" t="n">
        <f aca="false">IF(Assumptions!$C$3="Base",Volumes!I14,Volumes!I6)</f>
        <v>1</v>
      </c>
      <c r="J5" s="19" t="n">
        <f aca="false">IF(Assumptions!$C$3="Base",Volumes!J14,Volumes!J6)</f>
        <v>1</v>
      </c>
      <c r="K5" s="19" t="n">
        <f aca="false">IF(Assumptions!$C$3="Base",Volumes!K14,Volumes!K6)</f>
        <v>2</v>
      </c>
      <c r="L5" s="19" t="n">
        <f aca="false">IF(Assumptions!$C$3="Base",Volumes!L14,Volumes!L6)</f>
        <v>1</v>
      </c>
      <c r="M5" s="19" t="n">
        <f aca="false">IF(Assumptions!$C$3="Base",Volumes!M14,Volumes!M6)</f>
        <v>2</v>
      </c>
      <c r="N5" s="19" t="n">
        <f aca="false">SUM(B5:M5)</f>
        <v>12</v>
      </c>
    </row>
    <row r="6" customFormat="false" ht="15" hidden="false" customHeight="true" outlineLevel="0" collapsed="false">
      <c r="A6" s="23" t="s">
        <v>81</v>
      </c>
      <c r="B6" s="19" t="n">
        <f aca="false">IF(Assumptions!$C$3="Base",Volumes!B15,Volumes!B7)</f>
        <v>0</v>
      </c>
      <c r="C6" s="19" t="n">
        <f aca="false">IF(Assumptions!$C$3="Base",Volumes!C15,Volumes!C7)</f>
        <v>0</v>
      </c>
      <c r="D6" s="19" t="n">
        <f aca="false">IF(Assumptions!$C$3="Base",Volumes!D15,Volumes!D7)</f>
        <v>0</v>
      </c>
      <c r="E6" s="19" t="n">
        <f aca="false">IF(Assumptions!$C$3="Base",Volumes!E15,Volumes!E7)</f>
        <v>0</v>
      </c>
      <c r="F6" s="19" t="n">
        <f aca="false">IF(Assumptions!$C$3="Base",Volumes!F15,Volumes!F7)</f>
        <v>0</v>
      </c>
      <c r="G6" s="19" t="n">
        <f aca="false">IF(Assumptions!$C$3="Base",Volumes!G15,Volumes!G7)</f>
        <v>1</v>
      </c>
      <c r="H6" s="19" t="n">
        <f aca="false">IF(Assumptions!$C$3="Base",Volumes!H15,Volumes!H7)</f>
        <v>0</v>
      </c>
      <c r="I6" s="19" t="n">
        <f aca="false">IF(Assumptions!$C$3="Base",Volumes!I15,Volumes!I7)</f>
        <v>0</v>
      </c>
      <c r="J6" s="19" t="n">
        <f aca="false">IF(Assumptions!$C$3="Base",Volumes!J15,Volumes!J7)</f>
        <v>0</v>
      </c>
      <c r="K6" s="19" t="n">
        <f aca="false">IF(Assumptions!$C$3="Base",Volumes!K15,Volumes!K7)</f>
        <v>0</v>
      </c>
      <c r="L6" s="19" t="n">
        <f aca="false">IF(Assumptions!$C$3="Base",Volumes!L15,Volumes!L7)</f>
        <v>1</v>
      </c>
      <c r="M6" s="19" t="n">
        <f aca="false">IF(Assumptions!$C$3="Base",Volumes!M15,Volumes!M7)</f>
        <v>0</v>
      </c>
      <c r="N6" s="19" t="n">
        <f aca="false">SUM(B6:M6)</f>
        <v>2</v>
      </c>
    </row>
    <row r="7" customFormat="false" ht="15" hidden="false" customHeight="true" outlineLevel="0" collapsed="false">
      <c r="A7" s="23" t="s">
        <v>82</v>
      </c>
      <c r="B7" s="19" t="n">
        <f aca="false">IF(Assumptions!$C$3="Base",Volumes!B16,Volumes!B8)</f>
        <v>0</v>
      </c>
      <c r="C7" s="19" t="n">
        <f aca="false">IF(Assumptions!$C$3="Base",Volumes!C16,Volumes!C8)</f>
        <v>1</v>
      </c>
      <c r="D7" s="19" t="n">
        <f aca="false">IF(Assumptions!$C$3="Base",Volumes!D16,Volumes!D8)</f>
        <v>0</v>
      </c>
      <c r="E7" s="19" t="n">
        <f aca="false">IF(Assumptions!$C$3="Base",Volumes!E16,Volumes!E8)</f>
        <v>1</v>
      </c>
      <c r="F7" s="19" t="n">
        <f aca="false">IF(Assumptions!$C$3="Base",Volumes!F16,Volumes!F8)</f>
        <v>1</v>
      </c>
      <c r="G7" s="19" t="n">
        <f aca="false">IF(Assumptions!$C$3="Base",Volumes!G16,Volumes!G8)</f>
        <v>1</v>
      </c>
      <c r="H7" s="19" t="n">
        <f aca="false">IF(Assumptions!$C$3="Base",Volumes!H16,Volumes!H8)</f>
        <v>0</v>
      </c>
      <c r="I7" s="19" t="n">
        <f aca="false">IF(Assumptions!$C$3="Base",Volumes!I16,Volumes!I8)</f>
        <v>1</v>
      </c>
      <c r="J7" s="19" t="n">
        <f aca="false">IF(Assumptions!$C$3="Base",Volumes!J16,Volumes!J8)</f>
        <v>1</v>
      </c>
      <c r="K7" s="19" t="n">
        <f aca="false">IF(Assumptions!$C$3="Base",Volumes!K16,Volumes!K8)</f>
        <v>1</v>
      </c>
      <c r="L7" s="19" t="n">
        <f aca="false">IF(Assumptions!$C$3="Base",Volumes!L16,Volumes!L8)</f>
        <v>0</v>
      </c>
      <c r="M7" s="19" t="n">
        <f aca="false">IF(Assumptions!$C$3="Base",Volumes!M16,Volumes!M8)</f>
        <v>1</v>
      </c>
      <c r="N7" s="19" t="n">
        <f aca="false">SUM(B7:M7)</f>
        <v>8</v>
      </c>
    </row>
    <row r="8" customFormat="false" ht="15" hidden="false" customHeight="true" outlineLevel="0" collapsed="false">
      <c r="A8" s="23" t="s">
        <v>83</v>
      </c>
      <c r="B8" s="19" t="n">
        <f aca="false">IF(Assumptions!$C$3="Base",Volumes!B17,Volumes!B9)</f>
        <v>0</v>
      </c>
      <c r="C8" s="19" t="n">
        <f aca="false">IF(Assumptions!$C$3="Base",Volumes!C17,Volumes!C9)</f>
        <v>0</v>
      </c>
      <c r="D8" s="19" t="n">
        <f aca="false">IF(Assumptions!$C$3="Base",Volumes!D17,Volumes!D9)</f>
        <v>0</v>
      </c>
      <c r="E8" s="19" t="n">
        <f aca="false">IF(Assumptions!$C$3="Base",Volumes!E17,Volumes!E9)</f>
        <v>0</v>
      </c>
      <c r="F8" s="19" t="n">
        <f aca="false">IF(Assumptions!$C$3="Base",Volumes!F17,Volumes!F9)</f>
        <v>0</v>
      </c>
      <c r="G8" s="19" t="n">
        <f aca="false">IF(Assumptions!$C$3="Base",Volumes!G17,Volumes!G9)</f>
        <v>0</v>
      </c>
      <c r="H8" s="19" t="n">
        <f aca="false">IF(Assumptions!$C$3="Base",Volumes!H17,Volumes!H9)</f>
        <v>0</v>
      </c>
      <c r="I8" s="19" t="n">
        <f aca="false">IF(Assumptions!$C$3="Base",Volumes!I17,Volumes!I9)</f>
        <v>0</v>
      </c>
      <c r="J8" s="19" t="n">
        <f aca="false">IF(Assumptions!$C$3="Base",Volumes!J17,Volumes!J9)</f>
        <v>0</v>
      </c>
      <c r="K8" s="19" t="n">
        <f aca="false">IF(Assumptions!$C$3="Base",Volumes!K17,Volumes!K9)</f>
        <v>0</v>
      </c>
      <c r="L8" s="19" t="n">
        <f aca="false">IF(Assumptions!$C$3="Base",Volumes!L17,Volumes!L9)</f>
        <v>0</v>
      </c>
      <c r="M8" s="19" t="n">
        <f aca="false">IF(Assumptions!$C$3="Base",Volumes!M17,Volumes!M9)</f>
        <v>0</v>
      </c>
      <c r="N8" s="19" t="n">
        <f aca="false">SUM(B8:M8)</f>
        <v>0</v>
      </c>
    </row>
    <row r="9" customFormat="false" ht="15" hidden="false" customHeight="true" outlineLevel="0" collapsed="false">
      <c r="A9" s="23" t="s">
        <v>88</v>
      </c>
      <c r="B9" s="13" t="n">
        <f aca="false">B5*Assumptions!$F$6</f>
        <v>0</v>
      </c>
      <c r="C9" s="13" t="n">
        <f aca="false">C5*Assumptions!$F$6</f>
        <v>0</v>
      </c>
      <c r="D9" s="13" t="n">
        <f aca="false">D5*Assumptions!$F$6</f>
        <v>5500</v>
      </c>
      <c r="E9" s="13" t="n">
        <f aca="false">E5*Assumptions!$F$6</f>
        <v>5500</v>
      </c>
      <c r="F9" s="13" t="n">
        <f aca="false">F5*Assumptions!$F$6</f>
        <v>5500</v>
      </c>
      <c r="G9" s="13" t="n">
        <f aca="false">G5*Assumptions!$F$6</f>
        <v>5500</v>
      </c>
      <c r="H9" s="13" t="n">
        <f aca="false">H5*Assumptions!$F$6</f>
        <v>5500</v>
      </c>
      <c r="I9" s="13" t="n">
        <f aca="false">I5*Assumptions!$F$6</f>
        <v>5500</v>
      </c>
      <c r="J9" s="13" t="n">
        <f aca="false">J5*Assumptions!$F$6</f>
        <v>5500</v>
      </c>
      <c r="K9" s="13" t="n">
        <f aca="false">K5*Assumptions!$F$6</f>
        <v>11000</v>
      </c>
      <c r="L9" s="13" t="n">
        <f aca="false">L5*Assumptions!$F$6</f>
        <v>5500</v>
      </c>
      <c r="M9" s="13" t="n">
        <f aca="false">M5*Assumptions!$F$6</f>
        <v>11000</v>
      </c>
      <c r="N9" s="13" t="n">
        <f aca="false">SUM(B9:M9)</f>
        <v>66000</v>
      </c>
    </row>
    <row r="10" customFormat="false" ht="15" hidden="false" customHeight="true" outlineLevel="0" collapsed="false">
      <c r="A10" s="23" t="s">
        <v>89</v>
      </c>
      <c r="B10" s="13" t="n">
        <f aca="false">B6*Assumptions!$F$7</f>
        <v>0</v>
      </c>
      <c r="C10" s="13" t="n">
        <f aca="false">C6*Assumptions!$F$7</f>
        <v>0</v>
      </c>
      <c r="D10" s="13" t="n">
        <f aca="false">D6*Assumptions!$F$7</f>
        <v>0</v>
      </c>
      <c r="E10" s="13" t="n">
        <f aca="false">E6*Assumptions!$F$7</f>
        <v>0</v>
      </c>
      <c r="F10" s="13" t="n">
        <f aca="false">F6*Assumptions!$F$7</f>
        <v>0</v>
      </c>
      <c r="G10" s="13" t="n">
        <f aca="false">G6*Assumptions!$F$7</f>
        <v>10000</v>
      </c>
      <c r="H10" s="13" t="n">
        <f aca="false">H6*Assumptions!$F$7</f>
        <v>0</v>
      </c>
      <c r="I10" s="13" t="n">
        <f aca="false">I6*Assumptions!$F$7</f>
        <v>0</v>
      </c>
      <c r="J10" s="13" t="n">
        <f aca="false">J6*Assumptions!$F$7</f>
        <v>0</v>
      </c>
      <c r="K10" s="13" t="n">
        <f aca="false">K6*Assumptions!$F$7</f>
        <v>0</v>
      </c>
      <c r="L10" s="13" t="n">
        <f aca="false">L6*Assumptions!$F$7</f>
        <v>10000</v>
      </c>
      <c r="M10" s="13" t="n">
        <f aca="false">M6*Assumptions!$F$7</f>
        <v>0</v>
      </c>
      <c r="N10" s="13" t="n">
        <f aca="false">SUM(B10:M10)</f>
        <v>20000</v>
      </c>
    </row>
    <row r="11" customFormat="false" ht="15" hidden="false" customHeight="true" outlineLevel="0" collapsed="false">
      <c r="A11" s="23" t="s">
        <v>90</v>
      </c>
      <c r="B11" s="13" t="n">
        <f aca="false">B7*Assumptions!$F$8</f>
        <v>0</v>
      </c>
      <c r="C11" s="13" t="n">
        <f aca="false">C7*Assumptions!$F$8</f>
        <v>1500</v>
      </c>
      <c r="D11" s="13" t="n">
        <f aca="false">D7*Assumptions!$F$8</f>
        <v>0</v>
      </c>
      <c r="E11" s="13" t="n">
        <f aca="false">E7*Assumptions!$F$8</f>
        <v>1500</v>
      </c>
      <c r="F11" s="13" t="n">
        <f aca="false">F7*Assumptions!$F$8</f>
        <v>1500</v>
      </c>
      <c r="G11" s="13" t="n">
        <f aca="false">G7*Assumptions!$F$8</f>
        <v>1500</v>
      </c>
      <c r="H11" s="13" t="n">
        <f aca="false">H7*Assumptions!$F$8</f>
        <v>0</v>
      </c>
      <c r="I11" s="13" t="n">
        <f aca="false">I7*Assumptions!$F$8</f>
        <v>1500</v>
      </c>
      <c r="J11" s="13" t="n">
        <f aca="false">J7*Assumptions!$F$8</f>
        <v>1500</v>
      </c>
      <c r="K11" s="13" t="n">
        <f aca="false">K7*Assumptions!$F$8</f>
        <v>1500</v>
      </c>
      <c r="L11" s="13" t="n">
        <f aca="false">L7*Assumptions!$F$8</f>
        <v>0</v>
      </c>
      <c r="M11" s="13" t="n">
        <f aca="false">M7*Assumptions!$F$8</f>
        <v>1500</v>
      </c>
      <c r="N11" s="13" t="n">
        <f aca="false">SUM(B11:M11)</f>
        <v>12000</v>
      </c>
    </row>
    <row r="12" customFormat="false" ht="15" hidden="false" customHeight="true" outlineLevel="0" collapsed="false">
      <c r="A12" s="23" t="s">
        <v>91</v>
      </c>
      <c r="B12" s="13" t="n">
        <f aca="false">B8*Assumptions!$F$9*Assumptions!$F$20*Assumptions!$F$10</f>
        <v>0</v>
      </c>
      <c r="C12" s="13" t="n">
        <f aca="false">C8*Assumptions!$F$9*Assumptions!$F$20*Assumptions!$F$10</f>
        <v>0</v>
      </c>
      <c r="D12" s="13" t="n">
        <f aca="false">D8*Assumptions!$F$9*Assumptions!$F$20*Assumptions!$F$10</f>
        <v>0</v>
      </c>
      <c r="E12" s="13" t="n">
        <f aca="false">E8*Assumptions!$F$9*Assumptions!$F$20*Assumptions!$F$10</f>
        <v>0</v>
      </c>
      <c r="F12" s="13" t="n">
        <f aca="false">F8*Assumptions!$F$9*Assumptions!$F$20*Assumptions!$F$10</f>
        <v>0</v>
      </c>
      <c r="G12" s="13" t="n">
        <f aca="false">G8*Assumptions!$F$9*Assumptions!$F$20*Assumptions!$F$10</f>
        <v>0</v>
      </c>
      <c r="H12" s="13" t="n">
        <f aca="false">H8*Assumptions!$F$9*Assumptions!$F$20*Assumptions!$F$10</f>
        <v>0</v>
      </c>
      <c r="I12" s="13" t="n">
        <f aca="false">I8*Assumptions!$F$9*Assumptions!$F$20*Assumptions!$F$10</f>
        <v>0</v>
      </c>
      <c r="J12" s="13" t="n">
        <f aca="false">J8*Assumptions!$F$9*Assumptions!$F$20*Assumptions!$F$10</f>
        <v>0</v>
      </c>
      <c r="K12" s="13" t="n">
        <f aca="false">K8*Assumptions!$F$9*Assumptions!$F$20*Assumptions!$F$10</f>
        <v>0</v>
      </c>
      <c r="L12" s="13" t="n">
        <f aca="false">L8*Assumptions!$F$9*Assumptions!$F$20*Assumptions!$F$10</f>
        <v>0</v>
      </c>
      <c r="M12" s="13" t="n">
        <f aca="false">M8*Assumptions!$F$9*Assumptions!$F$20*Assumptions!$F$10</f>
        <v>0</v>
      </c>
      <c r="N12" s="13" t="n">
        <f aca="false">SUM(B12:M12)</f>
        <v>0</v>
      </c>
    </row>
    <row r="13" customFormat="false" ht="15" hidden="false" customHeight="true" outlineLevel="0" collapsed="false">
      <c r="A13" s="24" t="s">
        <v>3</v>
      </c>
      <c r="B13" s="13" t="n">
        <f aca="false">SUM(B9:B12)</f>
        <v>0</v>
      </c>
      <c r="C13" s="13" t="n">
        <f aca="false">SUM(C9:C12)</f>
        <v>1500</v>
      </c>
      <c r="D13" s="13" t="n">
        <f aca="false">SUM(D9:D12)</f>
        <v>5500</v>
      </c>
      <c r="E13" s="13" t="n">
        <f aca="false">SUM(E9:E12)</f>
        <v>7000</v>
      </c>
      <c r="F13" s="13" t="n">
        <f aca="false">SUM(F9:F12)</f>
        <v>7000</v>
      </c>
      <c r="G13" s="13" t="n">
        <f aca="false">SUM(G9:G12)</f>
        <v>17000</v>
      </c>
      <c r="H13" s="13" t="n">
        <f aca="false">SUM(H9:H12)</f>
        <v>5500</v>
      </c>
      <c r="I13" s="13" t="n">
        <f aca="false">SUM(I9:I12)</f>
        <v>7000</v>
      </c>
      <c r="J13" s="13" t="n">
        <f aca="false">SUM(J9:J12)</f>
        <v>7000</v>
      </c>
      <c r="K13" s="13" t="n">
        <f aca="false">SUM(K9:K12)</f>
        <v>12500</v>
      </c>
      <c r="L13" s="13" t="n">
        <f aca="false">SUM(L9:L12)</f>
        <v>15500</v>
      </c>
      <c r="M13" s="13" t="n">
        <f aca="false">SUM(M9:M12)</f>
        <v>12500</v>
      </c>
      <c r="N13" s="13" t="n">
        <f aca="false">SUM(B13:M13)</f>
        <v>98000</v>
      </c>
    </row>
    <row r="14" customFormat="false" ht="15" hidden="false" customHeight="true" outlineLevel="0" collapsed="false">
      <c r="A14" s="23" t="s">
        <v>92</v>
      </c>
      <c r="B14" s="13" t="n">
        <f aca="false">B9*Assumptions!$F$17+B10*Assumptions!$F$18+B11*Assumptions!$F$19+B8*Assumptions!$F$9*Assumptions!$F$20*(Assumptions!$F$24+Assumptions!$F$10*Assumptions!$F$16)</f>
        <v>0</v>
      </c>
      <c r="C14" s="13" t="n">
        <f aca="false">C9*Assumptions!$F$17+C10*Assumptions!$F$18+C11*Assumptions!$F$19+C8*Assumptions!$F$9*Assumptions!$F$20*(Assumptions!$F$24+Assumptions!$F$10*Assumptions!$F$16)</f>
        <v>150</v>
      </c>
      <c r="D14" s="13" t="n">
        <f aca="false">D9*Assumptions!$F$17+D10*Assumptions!$F$18+D11*Assumptions!$F$19+D8*Assumptions!$F$9*Assumptions!$F$20*(Assumptions!$F$24+Assumptions!$F$10*Assumptions!$F$16)</f>
        <v>440</v>
      </c>
      <c r="E14" s="13" t="n">
        <f aca="false">E9*Assumptions!$F$17+E10*Assumptions!$F$18+E11*Assumptions!$F$19+E8*Assumptions!$F$9*Assumptions!$F$20*(Assumptions!$F$24+Assumptions!$F$10*Assumptions!$F$16)</f>
        <v>590</v>
      </c>
      <c r="F14" s="13" t="n">
        <f aca="false">F9*Assumptions!$F$17+F10*Assumptions!$F$18+F11*Assumptions!$F$19+F8*Assumptions!$F$9*Assumptions!$F$20*(Assumptions!$F$24+Assumptions!$F$10*Assumptions!$F$16)</f>
        <v>590</v>
      </c>
      <c r="G14" s="13" t="n">
        <f aca="false">G9*Assumptions!$F$17+G10*Assumptions!$F$18+G11*Assumptions!$F$19+G8*Assumptions!$F$9*Assumptions!$F$20*(Assumptions!$F$24+Assumptions!$F$10*Assumptions!$F$16)</f>
        <v>1190</v>
      </c>
      <c r="H14" s="13" t="n">
        <f aca="false">H9*Assumptions!$F$17+H10*Assumptions!$F$18+H11*Assumptions!$F$19+H8*Assumptions!$F$9*Assumptions!$F$20*(Assumptions!$F$24+Assumptions!$F$10*Assumptions!$F$16)</f>
        <v>440</v>
      </c>
      <c r="I14" s="13" t="n">
        <f aca="false">I9*Assumptions!$F$17+I10*Assumptions!$F$18+I11*Assumptions!$F$19+I8*Assumptions!$F$9*Assumptions!$F$20*(Assumptions!$F$24+Assumptions!$F$10*Assumptions!$F$16)</f>
        <v>590</v>
      </c>
      <c r="J14" s="13" t="n">
        <f aca="false">J9*Assumptions!$F$17+J10*Assumptions!$F$18+J11*Assumptions!$F$19+J8*Assumptions!$F$9*Assumptions!$F$20*(Assumptions!$F$24+Assumptions!$F$10*Assumptions!$F$16)</f>
        <v>590</v>
      </c>
      <c r="K14" s="13" t="n">
        <f aca="false">K9*Assumptions!$F$17+K10*Assumptions!$F$18+K11*Assumptions!$F$19+K8*Assumptions!$F$9*Assumptions!$F$20*(Assumptions!$F$24+Assumptions!$F$10*Assumptions!$F$16)</f>
        <v>1030</v>
      </c>
      <c r="L14" s="13" t="n">
        <f aca="false">L9*Assumptions!$F$17+L10*Assumptions!$F$18+L11*Assumptions!$F$19+L8*Assumptions!$F$9*Assumptions!$F$20*(Assumptions!$F$24+Assumptions!$F$10*Assumptions!$F$16)</f>
        <v>1040</v>
      </c>
      <c r="M14" s="13" t="n">
        <f aca="false">M9*Assumptions!$F$17+M10*Assumptions!$F$18+M11*Assumptions!$F$19+M8*Assumptions!$F$9*Assumptions!$F$20*(Assumptions!$F$24+Assumptions!$F$10*Assumptions!$F$16)</f>
        <v>1030</v>
      </c>
      <c r="N14" s="13" t="n">
        <f aca="false">SUM(B14:M14)</f>
        <v>7680</v>
      </c>
    </row>
    <row r="15" customFormat="false" ht="15" hidden="false" customHeight="true" outlineLevel="0" collapsed="false">
      <c r="A15" s="24" t="s">
        <v>4</v>
      </c>
      <c r="B15" s="13" t="n">
        <f aca="false">B13-B14</f>
        <v>0</v>
      </c>
      <c r="C15" s="13" t="n">
        <f aca="false">C13-C14</f>
        <v>1350</v>
      </c>
      <c r="D15" s="13" t="n">
        <f aca="false">D13-D14</f>
        <v>5060</v>
      </c>
      <c r="E15" s="13" t="n">
        <f aca="false">E13-E14</f>
        <v>6410</v>
      </c>
      <c r="F15" s="13" t="n">
        <f aca="false">F13-F14</f>
        <v>6410</v>
      </c>
      <c r="G15" s="13" t="n">
        <f aca="false">G13-G14</f>
        <v>15810</v>
      </c>
      <c r="H15" s="13" t="n">
        <f aca="false">H13-H14</f>
        <v>5060</v>
      </c>
      <c r="I15" s="13" t="n">
        <f aca="false">I13-I14</f>
        <v>6410</v>
      </c>
      <c r="J15" s="13" t="n">
        <f aca="false">J13-J14</f>
        <v>6410</v>
      </c>
      <c r="K15" s="13" t="n">
        <f aca="false">K13-K14</f>
        <v>11470</v>
      </c>
      <c r="L15" s="13" t="n">
        <f aca="false">L13-L14</f>
        <v>14460</v>
      </c>
      <c r="M15" s="13" t="n">
        <f aca="false">M13-M14</f>
        <v>11470</v>
      </c>
      <c r="N15" s="13" t="n">
        <f aca="false">SUM(B15:M15)</f>
        <v>90320</v>
      </c>
    </row>
    <row r="16" customFormat="false" ht="15" hidden="false" customHeight="true" outlineLevel="0" collapsed="false">
      <c r="A16" s="23" t="s">
        <v>5</v>
      </c>
      <c r="B16" s="17" t="n">
        <f aca="false">IF(B13=0,0,B15/B13)</f>
        <v>0</v>
      </c>
      <c r="C16" s="17" t="n">
        <f aca="false">IF(C13=0,0,C15/C13)</f>
        <v>0.9</v>
      </c>
      <c r="D16" s="17" t="n">
        <f aca="false">IF(D13=0,0,D15/D13)</f>
        <v>0.92</v>
      </c>
      <c r="E16" s="17" t="n">
        <f aca="false">IF(E13=0,0,E15/E13)</f>
        <v>0.915714285714286</v>
      </c>
      <c r="F16" s="17" t="n">
        <f aca="false">IF(F13=0,0,F15/F13)</f>
        <v>0.915714285714286</v>
      </c>
      <c r="G16" s="17" t="n">
        <f aca="false">IF(G13=0,0,G15/G13)</f>
        <v>0.93</v>
      </c>
      <c r="H16" s="17" t="n">
        <f aca="false">IF(H13=0,0,H15/H13)</f>
        <v>0.92</v>
      </c>
      <c r="I16" s="17" t="n">
        <f aca="false">IF(I13=0,0,I15/I13)</f>
        <v>0.915714285714286</v>
      </c>
      <c r="J16" s="17" t="n">
        <f aca="false">IF(J13=0,0,J15/J13)</f>
        <v>0.915714285714286</v>
      </c>
      <c r="K16" s="17" t="n">
        <f aca="false">IF(K13=0,0,K15/K13)</f>
        <v>0.9176</v>
      </c>
      <c r="L16" s="17" t="n">
        <f aca="false">IF(L13=0,0,L15/L13)</f>
        <v>0.932903225806452</v>
      </c>
      <c r="M16" s="17" t="n">
        <f aca="false">IF(M13=0,0,M15/M13)</f>
        <v>0.9176</v>
      </c>
      <c r="N16" s="17" t="n">
        <f aca="false">IF(N13=0,0,N15/N13)</f>
        <v>0.921632653061224</v>
      </c>
    </row>
    <row r="17" customFormat="false" ht="15" hidden="false" customHeight="true" outlineLevel="0" collapsed="false">
      <c r="A17" s="23" t="s">
        <v>6</v>
      </c>
      <c r="B17" s="13" t="n">
        <f aca="false">IF(Assumptions!$C$3="Base",Volumes!B18,Volumes!B10)</f>
        <v>1500</v>
      </c>
      <c r="C17" s="13" t="n">
        <f aca="false">IF(Assumptions!$C$3="Base",Volumes!C18,Volumes!C10)</f>
        <v>1500</v>
      </c>
      <c r="D17" s="13" t="n">
        <f aca="false">IF(Assumptions!$C$3="Base",Volumes!D18,Volumes!D10)</f>
        <v>1500</v>
      </c>
      <c r="E17" s="13" t="n">
        <f aca="false">IF(Assumptions!$C$3="Base",Volumes!E18,Volumes!E10)</f>
        <v>1500</v>
      </c>
      <c r="F17" s="13" t="n">
        <f aca="false">IF(Assumptions!$C$3="Base",Volumes!F18,Volumes!F10)</f>
        <v>1500</v>
      </c>
      <c r="G17" s="13" t="n">
        <f aca="false">IF(Assumptions!$C$3="Base",Volumes!G18,Volumes!G10)</f>
        <v>1500</v>
      </c>
      <c r="H17" s="13" t="n">
        <f aca="false">IF(Assumptions!$C$3="Base",Volumes!H18,Volumes!H10)</f>
        <v>1500</v>
      </c>
      <c r="I17" s="13" t="n">
        <f aca="false">IF(Assumptions!$C$3="Base",Volumes!I18,Volumes!I10)</f>
        <v>1500</v>
      </c>
      <c r="J17" s="13" t="n">
        <f aca="false">IF(Assumptions!$C$3="Base",Volumes!J18,Volumes!J10)</f>
        <v>1500</v>
      </c>
      <c r="K17" s="13" t="n">
        <f aca="false">IF(Assumptions!$C$3="Base",Volumes!K18,Volumes!K10)</f>
        <v>1500</v>
      </c>
      <c r="L17" s="13" t="n">
        <f aca="false">IF(Assumptions!$C$3="Base",Volumes!L18,Volumes!L10)</f>
        <v>1500</v>
      </c>
      <c r="M17" s="13" t="n">
        <f aca="false">IF(Assumptions!$C$3="Base",Volumes!M18,Volumes!M10)</f>
        <v>1500</v>
      </c>
      <c r="N17" s="13" t="n">
        <f aca="false">SUM(B17:M17)</f>
        <v>18000</v>
      </c>
    </row>
    <row r="18" customFormat="false" ht="15" hidden="false" customHeight="true" outlineLevel="0" collapsed="false">
      <c r="A18" s="24" t="s">
        <v>7</v>
      </c>
      <c r="B18" s="13" t="n">
        <f aca="false">B15-B17</f>
        <v>-1500</v>
      </c>
      <c r="C18" s="13" t="n">
        <f aca="false">C15-C17</f>
        <v>-150</v>
      </c>
      <c r="D18" s="13" t="n">
        <f aca="false">D15-D17</f>
        <v>3560</v>
      </c>
      <c r="E18" s="13" t="n">
        <f aca="false">E15-E17</f>
        <v>4910</v>
      </c>
      <c r="F18" s="13" t="n">
        <f aca="false">F15-F17</f>
        <v>4910</v>
      </c>
      <c r="G18" s="13" t="n">
        <f aca="false">G15-G17</f>
        <v>14310</v>
      </c>
      <c r="H18" s="13" t="n">
        <f aca="false">H15-H17</f>
        <v>3560</v>
      </c>
      <c r="I18" s="13" t="n">
        <f aca="false">I15-I17</f>
        <v>4910</v>
      </c>
      <c r="J18" s="13" t="n">
        <f aca="false">J15-J17</f>
        <v>4910</v>
      </c>
      <c r="K18" s="13" t="n">
        <f aca="false">K15-K17</f>
        <v>9970</v>
      </c>
      <c r="L18" s="13" t="n">
        <f aca="false">L15-L17</f>
        <v>12960</v>
      </c>
      <c r="M18" s="13" t="n">
        <f aca="false">M15-M17</f>
        <v>9970</v>
      </c>
      <c r="N18" s="13" t="n">
        <f aca="false">SUM(B18:M18)</f>
        <v>72320</v>
      </c>
    </row>
    <row r="19" customFormat="false" ht="15" hidden="false" customHeight="true" outlineLevel="0" collapsed="false">
      <c r="A19" s="23" t="s">
        <v>93</v>
      </c>
      <c r="B19" s="13" t="n">
        <f aca="false">SUM($B$18:B18)</f>
        <v>-1500</v>
      </c>
      <c r="C19" s="13" t="n">
        <f aca="false">SUM($B$18:C18)</f>
        <v>-1650</v>
      </c>
      <c r="D19" s="13" t="n">
        <f aca="false">SUM($B$18:D18)</f>
        <v>1910</v>
      </c>
      <c r="E19" s="13" t="n">
        <f aca="false">SUM($B$18:E18)</f>
        <v>6820</v>
      </c>
      <c r="F19" s="13" t="n">
        <f aca="false">SUM($B$18:F18)</f>
        <v>11730</v>
      </c>
      <c r="G19" s="13" t="n">
        <f aca="false">SUM($B$18:G18)</f>
        <v>26040</v>
      </c>
      <c r="H19" s="13" t="n">
        <f aca="false">SUM($B$18:H18)</f>
        <v>29600</v>
      </c>
      <c r="I19" s="13" t="n">
        <f aca="false">SUM($B$18:I18)</f>
        <v>34510</v>
      </c>
      <c r="J19" s="13" t="n">
        <f aca="false">SUM($B$18:J18)</f>
        <v>39420</v>
      </c>
      <c r="K19" s="13" t="n">
        <f aca="false">SUM($B$18:K18)</f>
        <v>49390</v>
      </c>
      <c r="L19" s="13" t="n">
        <f aca="false">SUM($B$18:L18)</f>
        <v>62350</v>
      </c>
      <c r="M19" s="13" t="n">
        <f aca="false">SUM($B$18:M18)</f>
        <v>72320</v>
      </c>
      <c r="N19" s="13" t="n">
        <f aca="false">M19</f>
        <v>72320</v>
      </c>
    </row>
    <row r="20" customFormat="false" ht="15" hidden="false" customHeight="true" outlineLevel="0" collapsed="false">
      <c r="A20" s="23" t="s">
        <v>94</v>
      </c>
      <c r="B20" s="13" t="n">
        <f aca="false">SUM($B$13:B13)</f>
        <v>0</v>
      </c>
      <c r="C20" s="13" t="n">
        <f aca="false">SUM($B$13:C13)</f>
        <v>1500</v>
      </c>
      <c r="D20" s="13" t="n">
        <f aca="false">SUM($B$13:D13)</f>
        <v>7000</v>
      </c>
      <c r="E20" s="13" t="n">
        <f aca="false">SUM($B$13:E13)</f>
        <v>14000</v>
      </c>
      <c r="F20" s="13" t="n">
        <f aca="false">SUM($B$13:F13)</f>
        <v>21000</v>
      </c>
      <c r="G20" s="13" t="n">
        <f aca="false">SUM($B$13:G13)</f>
        <v>38000</v>
      </c>
      <c r="H20" s="13" t="n">
        <f aca="false">SUM($B$13:H13)</f>
        <v>43500</v>
      </c>
      <c r="I20" s="13" t="n">
        <f aca="false">SUM($B$13:I13)</f>
        <v>50500</v>
      </c>
      <c r="J20" s="13" t="n">
        <f aca="false">SUM($B$13:J13)</f>
        <v>57500</v>
      </c>
      <c r="K20" s="13" t="n">
        <f aca="false">SUM($B$13:K13)</f>
        <v>70000</v>
      </c>
      <c r="L20" s="13" t="n">
        <f aca="false">SUM($B$13:L13)</f>
        <v>85500</v>
      </c>
      <c r="M20" s="13" t="n">
        <f aca="false">SUM($B$13:M13)</f>
        <v>98000</v>
      </c>
      <c r="N20" s="13" t="n">
        <f aca="false">M20</f>
        <v>98000</v>
      </c>
    </row>
    <row r="22" customFormat="false" ht="15" hidden="false" customHeight="true" outlineLevel="0" collapsed="false">
      <c r="A22" s="1" t="s">
        <v>95</v>
      </c>
      <c r="B22" s="1" t="str">
        <f aca="false">IF(N20&gt;Assumptions!$F$21,"Yes: register for VAT (check timing with accountant)","Not in Year 1")</f>
        <v>Yes: register for VAT (check timing with accountant)</v>
      </c>
    </row>
    <row r="23" customFormat="false" ht="15" hidden="false" customHeight="true" outlineLevel="0" collapsed="false">
      <c r="A23" s="1" t="s">
        <v>96</v>
      </c>
      <c r="B23" s="20" t="n">
        <f aca="false">Assumptions!F25</f>
        <v>6.85485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2026-09-24T20:05:36Z</dcterms:created>
  <dc:creator>openpyxl</dc:creator>
  <dc:description/>
  <dc:language>en-US</dc:language>
  <cp:lastModifiedBy/>
  <dcterms:modified xsi:type="dcterms:W3CDTF">2026-09-24T20:12:16Z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